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 REPORT" sheetId="1" r:id="rId5"/>
    <sheet state="visible" name="DAILY STOCKS (W)" sheetId="2" r:id="rId6"/>
    <sheet state="visible" name="DAILY STOCKS (TH)" sheetId="3" r:id="rId7"/>
    <sheet state="visible" name="DAILY STOCKS (F)" sheetId="4" r:id="rId8"/>
    <sheet state="visible" name="DAILY STOCKS (SAT)" sheetId="5" r:id="rId9"/>
    <sheet state="visible" name="DAILY STOCKS (SUN)" sheetId="6" r:id="rId10"/>
  </sheets>
  <definedNames/>
  <calcPr/>
</workbook>
</file>

<file path=xl/sharedStrings.xml><?xml version="1.0" encoding="utf-8"?>
<sst xmlns="http://schemas.openxmlformats.org/spreadsheetml/2006/main" count="1863" uniqueCount="447">
  <si>
    <t>WEDNESDAY-MARCH 1</t>
  </si>
  <si>
    <t>THURSDAY - MAR 2</t>
  </si>
  <si>
    <t>FRIDAY - MAR 3</t>
  </si>
  <si>
    <t>SATURDAY - MAR 4</t>
  </si>
  <si>
    <t>SUNDAY - MAR 5</t>
  </si>
  <si>
    <t>CASHIER NAME:</t>
  </si>
  <si>
    <t>Joemar</t>
  </si>
  <si>
    <t>ANN</t>
  </si>
  <si>
    <t>Elma</t>
  </si>
  <si>
    <t>ELMA</t>
  </si>
  <si>
    <t>STAFF:</t>
  </si>
  <si>
    <t>Christian</t>
  </si>
  <si>
    <t>Lito</t>
  </si>
  <si>
    <t>TOY</t>
  </si>
  <si>
    <t>DEN</t>
  </si>
  <si>
    <t>Patrick</t>
  </si>
  <si>
    <t>Sherwin</t>
  </si>
  <si>
    <t>PAT</t>
  </si>
  <si>
    <t>MAR</t>
  </si>
  <si>
    <t>Erwin</t>
  </si>
  <si>
    <t>Boboy</t>
  </si>
  <si>
    <t>BOY</t>
  </si>
  <si>
    <t>Dhen</t>
  </si>
  <si>
    <t>ERWIN</t>
  </si>
  <si>
    <t>SHERWIN</t>
  </si>
  <si>
    <t>GROSS SALE:</t>
  </si>
  <si>
    <t>DAILY EXPENSES:</t>
  </si>
  <si>
    <t>DISCOUNT:</t>
  </si>
  <si>
    <t>NET SALES:</t>
  </si>
  <si>
    <t>ACCOUNTS RECEIVABLE:</t>
  </si>
  <si>
    <t>POST DATED CHECKS:</t>
  </si>
  <si>
    <t>&lt;CUSTOMER NAME&gt;</t>
  </si>
  <si>
    <t>&lt;DATE OF CHECK&gt;</t>
  </si>
  <si>
    <t>&lt;AMOUNT&gt;</t>
  </si>
  <si>
    <t>Rowelinda F. Clarino</t>
  </si>
  <si>
    <t>BONITA</t>
  </si>
  <si>
    <t xml:space="preserve">ROWELINDA CLARINO </t>
  </si>
  <si>
    <t>Natividad P. Blasco</t>
  </si>
  <si>
    <t>LUCASIA COLLECTION</t>
  </si>
  <si>
    <t>EXPECTED CASH REMIT:</t>
  </si>
  <si>
    <t>ACTUAL CASH REMIT:</t>
  </si>
  <si>
    <t>SHORT/OVER:</t>
  </si>
  <si>
    <t>`</t>
  </si>
  <si>
    <t>TOTAL EXPENSES:</t>
  </si>
  <si>
    <t>DESCRIPTION</t>
  </si>
  <si>
    <t>COST</t>
  </si>
  <si>
    <t>HYUNDAI GAS</t>
  </si>
  <si>
    <t>ALLOWANCE TRAK</t>
  </si>
  <si>
    <t>ADVANCES SHERWIN</t>
  </si>
  <si>
    <t>MEALS</t>
  </si>
  <si>
    <t>GAS TRAK</t>
  </si>
  <si>
    <t>JOY</t>
  </si>
  <si>
    <t>TRICYCLE GAS</t>
  </si>
  <si>
    <t>HYUNDAI OIL</t>
  </si>
  <si>
    <t>ALLOWANCE</t>
  </si>
  <si>
    <t xml:space="preserve"> TRUCK ALLOWANCE</t>
  </si>
  <si>
    <t>ADVANCES ELMA</t>
  </si>
  <si>
    <t>TRUCK ALLOW</t>
  </si>
  <si>
    <t xml:space="preserve">TRUCK GAS </t>
  </si>
  <si>
    <t>ADVANCES PATRICK</t>
  </si>
  <si>
    <t>GAS TRYKE</t>
  </si>
  <si>
    <t>TRUCK GAS</t>
  </si>
  <si>
    <t>TRANSPORTATION</t>
  </si>
  <si>
    <t>TOLLGATE TIGAON</t>
  </si>
  <si>
    <t>WATER</t>
  </si>
  <si>
    <t>FORD GAS</t>
  </si>
  <si>
    <t>CHANGE TIRE</t>
  </si>
  <si>
    <t>TAX 2307</t>
  </si>
  <si>
    <t>PURCHASE</t>
  </si>
  <si>
    <t>LICENSE</t>
  </si>
  <si>
    <t>TRYKE</t>
  </si>
  <si>
    <t>CAT FOOD</t>
  </si>
  <si>
    <t>PRODUCERS</t>
  </si>
  <si>
    <t>CHRISTIAN PAYROLL</t>
  </si>
  <si>
    <t>UPGRADE / SWAP</t>
  </si>
  <si>
    <t>DAILYSTOCKS MONITORING</t>
  </si>
  <si>
    <t>DISCOUNTS</t>
  </si>
  <si>
    <t>PRODUCT NAME</t>
  </si>
  <si>
    <t>SRP</t>
  </si>
  <si>
    <t>SOLD</t>
  </si>
  <si>
    <t>TOTAL SALES</t>
  </si>
  <si>
    <t>PRODUCT TO SWAP</t>
  </si>
  <si>
    <t>PURCHASE PRICE</t>
  </si>
  <si>
    <t>PRODUCT TO BUY</t>
  </si>
  <si>
    <t>FULL CYLINDER</t>
  </si>
  <si>
    <t>BEG</t>
  </si>
  <si>
    <t>PLANTA PURCHASES</t>
  </si>
  <si>
    <t>PLANTA REFILL</t>
  </si>
  <si>
    <t>REFILL</t>
  </si>
  <si>
    <t>SWAP</t>
  </si>
  <si>
    <t>BORROWED</t>
  </si>
  <si>
    <t>RETURN</t>
  </si>
  <si>
    <t>END</t>
  </si>
  <si>
    <t>AUD</t>
  </si>
  <si>
    <t>VAR</t>
  </si>
  <si>
    <t xml:space="preserve">INVOICE </t>
  </si>
  <si>
    <t>NAME</t>
  </si>
  <si>
    <t>PARTICULARS</t>
  </si>
  <si>
    <t>CASH</t>
  </si>
  <si>
    <t>DISCOUNT</t>
  </si>
  <si>
    <t>A/R</t>
  </si>
  <si>
    <t>AMOUNT</t>
  </si>
  <si>
    <t>REGULATOR</t>
  </si>
  <si>
    <t>11KG PASAK</t>
  </si>
  <si>
    <t>11KG RUSKAS</t>
  </si>
  <si>
    <t>FLORESTA</t>
  </si>
  <si>
    <t>NGT</t>
  </si>
  <si>
    <t>REGULATOR (PASAK)</t>
  </si>
  <si>
    <t>NONE</t>
  </si>
  <si>
    <t>2.7KG</t>
  </si>
  <si>
    <t>GASARTE</t>
  </si>
  <si>
    <t>REGULATOR (RUSKAS)</t>
  </si>
  <si>
    <t>2.7KG FIESTA</t>
  </si>
  <si>
    <t>LEONARDO</t>
  </si>
  <si>
    <t>OTHERS</t>
  </si>
  <si>
    <t>7KG PASAK</t>
  </si>
  <si>
    <t>ADAYO</t>
  </si>
  <si>
    <t>PV</t>
  </si>
  <si>
    <t>GS-3</t>
  </si>
  <si>
    <t>7KG RUSKAS</t>
  </si>
  <si>
    <t>SENTINO</t>
  </si>
  <si>
    <t>HOSE</t>
  </si>
  <si>
    <t>AYEN</t>
  </si>
  <si>
    <t>CLAMP</t>
  </si>
  <si>
    <t>SABALLA</t>
  </si>
  <si>
    <t>REYNA (SINGLE BURNER)</t>
  </si>
  <si>
    <t>ELITE PASAK</t>
  </si>
  <si>
    <t>ESTADILLA</t>
  </si>
  <si>
    <t>REYNA (DOUBLE BURNER)</t>
  </si>
  <si>
    <t>ELITE RUSKAS</t>
  </si>
  <si>
    <t>CORANG</t>
  </si>
  <si>
    <t>Y TYPE</t>
  </si>
  <si>
    <t>22KG</t>
  </si>
  <si>
    <t>HELEN</t>
  </si>
  <si>
    <t>CYLINDER WITH REFILL</t>
  </si>
  <si>
    <t>50KG BLUE</t>
  </si>
  <si>
    <t>SAN ISIDRO</t>
  </si>
  <si>
    <t>4  NGT</t>
  </si>
  <si>
    <t>50KG CODED</t>
  </si>
  <si>
    <t>4  PV</t>
  </si>
  <si>
    <t>CADLAN</t>
  </si>
  <si>
    <t>3  PV</t>
  </si>
  <si>
    <t>2  7KG  PV</t>
  </si>
  <si>
    <t>EMPTY</t>
  </si>
  <si>
    <t>PLANTA</t>
  </si>
  <si>
    <t>RETURNED</t>
  </si>
  <si>
    <t>DURANTE</t>
  </si>
  <si>
    <t>ODABAR</t>
  </si>
  <si>
    <t>CANOY</t>
  </si>
  <si>
    <t>BLASCO</t>
  </si>
  <si>
    <t>15  PV</t>
  </si>
  <si>
    <t>15  NGT</t>
  </si>
  <si>
    <t>NIKKA</t>
  </si>
  <si>
    <t>1  50CODED</t>
  </si>
  <si>
    <t>1  2.7KG</t>
  </si>
  <si>
    <t>5  NGT</t>
  </si>
  <si>
    <t>2  PV</t>
  </si>
  <si>
    <t>1  PV ELITE</t>
  </si>
  <si>
    <t>P.NAGA</t>
  </si>
  <si>
    <t>1  50KG CODED</t>
  </si>
  <si>
    <t>10  2.7KG</t>
  </si>
  <si>
    <t>2  7PV</t>
  </si>
  <si>
    <t>10  NGT</t>
  </si>
  <si>
    <t>ACCESSORIES</t>
  </si>
  <si>
    <t>DELIVERY</t>
  </si>
  <si>
    <t>DEFECTIVE</t>
  </si>
  <si>
    <t>10  PV</t>
  </si>
  <si>
    <t>BARILOG</t>
  </si>
  <si>
    <t>P.DEL ROSARIO</t>
  </si>
  <si>
    <t>7  PV</t>
  </si>
  <si>
    <t>4  2.7KG</t>
  </si>
  <si>
    <t>NUNEZ</t>
  </si>
  <si>
    <t>1  PV</t>
  </si>
  <si>
    <t>BORROW</t>
  </si>
  <si>
    <t>TAGONTONG</t>
  </si>
  <si>
    <t>SANTIAGO</t>
  </si>
  <si>
    <t>NALLATAN</t>
  </si>
  <si>
    <t>Y Type</t>
  </si>
  <si>
    <t>ESCREBAN</t>
  </si>
  <si>
    <t>1  7PV</t>
  </si>
  <si>
    <t>MARMOL</t>
  </si>
  <si>
    <t>1  NGT</t>
  </si>
  <si>
    <t>TOTAL CYLINDER</t>
  </si>
  <si>
    <t>COMMENTS</t>
  </si>
  <si>
    <t>4  7PV</t>
  </si>
  <si>
    <t>Negative, binalik sa store</t>
  </si>
  <si>
    <t>1  7NGT</t>
  </si>
  <si>
    <t>ALCONGA</t>
  </si>
  <si>
    <t>7KG (PASAK)</t>
  </si>
  <si>
    <t>3  NGT</t>
  </si>
  <si>
    <t>7KG (RUSKAS)</t>
  </si>
  <si>
    <t>11KG (PASAK)</t>
  </si>
  <si>
    <t>negative,binalik sa store</t>
  </si>
  <si>
    <t>ESTA</t>
  </si>
  <si>
    <t>11KG (RUSKAS)</t>
  </si>
  <si>
    <t>BELZA</t>
  </si>
  <si>
    <t>1  22KG</t>
  </si>
  <si>
    <t>ELITE (PASAK)</t>
  </si>
  <si>
    <t>LABIOS</t>
  </si>
  <si>
    <t>CYLINDER PRICE LIST</t>
  </si>
  <si>
    <t>PRICE</t>
  </si>
  <si>
    <t>ELITE (RUSKAS)</t>
  </si>
  <si>
    <t>RANOCO</t>
  </si>
  <si>
    <t>EEB</t>
  </si>
  <si>
    <t>50KG (BLUE)</t>
  </si>
  <si>
    <t>2  NGT</t>
  </si>
  <si>
    <t>50KG (CODED)</t>
  </si>
  <si>
    <t>LYCU</t>
  </si>
  <si>
    <t>HARRY</t>
  </si>
  <si>
    <t>CABANOS</t>
  </si>
  <si>
    <t>DE ALDAY</t>
  </si>
  <si>
    <t>ROWENSON</t>
  </si>
  <si>
    <t>3  2.7KG</t>
  </si>
  <si>
    <t>5  PV</t>
  </si>
  <si>
    <t>A AND L</t>
  </si>
  <si>
    <t>MURA</t>
  </si>
  <si>
    <t>P. SAGNAY</t>
  </si>
  <si>
    <t>LUCASIA</t>
  </si>
  <si>
    <t>RAZADO</t>
  </si>
  <si>
    <t>P.TIGAON</t>
  </si>
  <si>
    <t>2  2.7KG</t>
  </si>
  <si>
    <t>ESPLANA</t>
  </si>
  <si>
    <t>BERMAL</t>
  </si>
  <si>
    <t>YAMSON</t>
  </si>
  <si>
    <t>UTURN</t>
  </si>
  <si>
    <t>RANOU</t>
  </si>
  <si>
    <t>MALLANAON</t>
  </si>
  <si>
    <t>BUENAOBRA</t>
  </si>
  <si>
    <t>SALIPONG</t>
  </si>
  <si>
    <t>1  F2.7KG</t>
  </si>
  <si>
    <t>LOZADA</t>
  </si>
  <si>
    <t>ALMA</t>
  </si>
  <si>
    <t>PENARANDA</t>
  </si>
  <si>
    <t>1HOSE</t>
  </si>
  <si>
    <t>1CLAMP</t>
  </si>
  <si>
    <t>1 YTYPE</t>
  </si>
  <si>
    <t>TOTAL</t>
  </si>
  <si>
    <t>\</t>
  </si>
  <si>
    <t>PABIA</t>
  </si>
  <si>
    <t>PAGASA</t>
  </si>
  <si>
    <t>BERGALA</t>
  </si>
  <si>
    <t>ADOLFO</t>
  </si>
  <si>
    <t>ABOVE</t>
  </si>
  <si>
    <t>JOJO</t>
  </si>
  <si>
    <t>LARGO</t>
  </si>
  <si>
    <t>ASARI</t>
  </si>
  <si>
    <t>POLANGUI</t>
  </si>
  <si>
    <t>BANDOLA</t>
  </si>
  <si>
    <t>LABIANO</t>
  </si>
  <si>
    <t>QUIDING</t>
  </si>
  <si>
    <t>SHAKEYS</t>
  </si>
  <si>
    <t>4  50CODED</t>
  </si>
  <si>
    <t>LOPEZ</t>
  </si>
  <si>
    <t>ALIMAN</t>
  </si>
  <si>
    <t>GOMEZ</t>
  </si>
  <si>
    <t>RAZON</t>
  </si>
  <si>
    <t>GEMBA</t>
  </si>
  <si>
    <t>1 PV</t>
  </si>
  <si>
    <t>LUZ</t>
  </si>
  <si>
    <t>1 2.7KG</t>
  </si>
  <si>
    <t>EMPLOMA</t>
  </si>
  <si>
    <t>FRAGATA</t>
  </si>
  <si>
    <t>1 NGT</t>
  </si>
  <si>
    <t>NIDEA</t>
  </si>
  <si>
    <t>PORTADES</t>
  </si>
  <si>
    <t>1 PV ELITE</t>
  </si>
  <si>
    <t>DE LEON</t>
  </si>
  <si>
    <t>CORECES</t>
  </si>
  <si>
    <t>1 22KG</t>
  </si>
  <si>
    <t>FEDERIS</t>
  </si>
  <si>
    <t>DEVERA</t>
  </si>
  <si>
    <t>REYES</t>
  </si>
  <si>
    <t>JAY</t>
  </si>
  <si>
    <t>HEAVENLY</t>
  </si>
  <si>
    <t>SALVINO</t>
  </si>
  <si>
    <t>JIMENEZ</t>
  </si>
  <si>
    <t>JAZARENO</t>
  </si>
  <si>
    <t>MALHEYS</t>
  </si>
  <si>
    <t>8 PV</t>
  </si>
  <si>
    <t>5 2.7KG</t>
  </si>
  <si>
    <t>6 NGT</t>
  </si>
  <si>
    <t>VELASCO</t>
  </si>
  <si>
    <t>3 PV</t>
  </si>
  <si>
    <t>2 NGT</t>
  </si>
  <si>
    <t>HONDA</t>
  </si>
  <si>
    <t>CBSUA</t>
  </si>
  <si>
    <t>VALIENTE</t>
  </si>
  <si>
    <t>1PV</t>
  </si>
  <si>
    <t>ABONITA</t>
  </si>
  <si>
    <t>ORDIZ</t>
  </si>
  <si>
    <t>5 NGT</t>
  </si>
  <si>
    <t>SERRANO</t>
  </si>
  <si>
    <t>PILI PETRON M.Z</t>
  </si>
  <si>
    <t>10 NGT</t>
  </si>
  <si>
    <t>10 PV</t>
  </si>
  <si>
    <t>BAJAR</t>
  </si>
  <si>
    <t>1 7KG PV</t>
  </si>
  <si>
    <t>1 7KG NGT</t>
  </si>
  <si>
    <t>BALISORO</t>
  </si>
  <si>
    <t>6 PV</t>
  </si>
  <si>
    <t>MANCITA</t>
  </si>
  <si>
    <t>PITIL</t>
  </si>
  <si>
    <t>1 PV CYL. DEP</t>
  </si>
  <si>
    <t>1 M.REG</t>
  </si>
  <si>
    <t>1 HOSE</t>
  </si>
  <si>
    <t>1 CLAMP</t>
  </si>
  <si>
    <t>P. NAGA</t>
  </si>
  <si>
    <t>5 CODED</t>
  </si>
  <si>
    <t>3 NGT</t>
  </si>
  <si>
    <t>10 2.7KG</t>
  </si>
  <si>
    <t>5 PV</t>
  </si>
  <si>
    <t>FULLERO</t>
  </si>
  <si>
    <t>4 PV</t>
  </si>
  <si>
    <t>BNG</t>
  </si>
  <si>
    <t>1 5OKG CODED</t>
  </si>
  <si>
    <t>2 PV ELITE</t>
  </si>
  <si>
    <t>2 PV</t>
  </si>
  <si>
    <t>NEGATIVE,BINALIK SA STORE</t>
  </si>
  <si>
    <t>4 2.7KG</t>
  </si>
  <si>
    <t>ARCE</t>
  </si>
  <si>
    <t>6 2.7KG</t>
  </si>
  <si>
    <t>MANUEL</t>
  </si>
  <si>
    <t>HERNANDEZ</t>
  </si>
  <si>
    <t>BUNAD</t>
  </si>
  <si>
    <t>PADERNAS</t>
  </si>
  <si>
    <t>PILAPIL</t>
  </si>
  <si>
    <t>ORONAN</t>
  </si>
  <si>
    <t>ALLARE</t>
  </si>
  <si>
    <t>BRIOZO</t>
  </si>
  <si>
    <t xml:space="preserve">5 PV </t>
  </si>
  <si>
    <t>MATEO</t>
  </si>
  <si>
    <t>URRENTE</t>
  </si>
  <si>
    <t>ROMBANO</t>
  </si>
  <si>
    <t>FLORECE</t>
  </si>
  <si>
    <t>MIRANDA</t>
  </si>
  <si>
    <t>1 2.7KG FIESTA</t>
  </si>
  <si>
    <t>REYA</t>
  </si>
  <si>
    <t>GARCIA</t>
  </si>
  <si>
    <t>SENDICO</t>
  </si>
  <si>
    <t>GUERELLA</t>
  </si>
  <si>
    <t>SANGAY</t>
  </si>
  <si>
    <t>TIGAON</t>
  </si>
  <si>
    <t>TIMOLA</t>
  </si>
  <si>
    <t>CAPARAS</t>
  </si>
  <si>
    <t>DELO SANTOS</t>
  </si>
  <si>
    <t>GUADALUPE</t>
  </si>
  <si>
    <t>ALMASAN</t>
  </si>
  <si>
    <t>DEL JUANA</t>
  </si>
  <si>
    <t>RMN</t>
  </si>
  <si>
    <t>BRIONES</t>
  </si>
  <si>
    <t>LOTIVO</t>
  </si>
  <si>
    <t>CARAG</t>
  </si>
  <si>
    <t>SAMAR</t>
  </si>
  <si>
    <t>AMPONGAN</t>
  </si>
  <si>
    <t>CAPISTRANO</t>
  </si>
  <si>
    <t>O</t>
  </si>
  <si>
    <t>6  NGT</t>
  </si>
  <si>
    <t>8  PV</t>
  </si>
  <si>
    <t>BONA</t>
  </si>
  <si>
    <t>DASMARINAS</t>
  </si>
  <si>
    <t>STA ANA</t>
  </si>
  <si>
    <t>DELOS REYES</t>
  </si>
  <si>
    <t>1  2.7KG F</t>
  </si>
  <si>
    <t>16  PV</t>
  </si>
  <si>
    <t>27  NGT</t>
  </si>
  <si>
    <t>MIEKOY</t>
  </si>
  <si>
    <t>BERMUDO</t>
  </si>
  <si>
    <t>BUENAFE</t>
  </si>
  <si>
    <t>12  NGT</t>
  </si>
  <si>
    <t>BLANCADA</t>
  </si>
  <si>
    <t>ORASCO</t>
  </si>
  <si>
    <t>SOLA</t>
  </si>
  <si>
    <t>TADURAN</t>
  </si>
  <si>
    <t>MELLIZA</t>
  </si>
  <si>
    <t>NACARIO</t>
  </si>
  <si>
    <t>VILLAR</t>
  </si>
  <si>
    <t>AURILLO</t>
  </si>
  <si>
    <t>MALICAD</t>
  </si>
  <si>
    <t>PABLO</t>
  </si>
  <si>
    <t>GCCU</t>
  </si>
  <si>
    <t>BATO</t>
  </si>
  <si>
    <t>NEGATIVE, BINALIK SA STORE</t>
  </si>
  <si>
    <t>NIERVA</t>
  </si>
  <si>
    <t>ARINO</t>
  </si>
  <si>
    <t>FLORA</t>
  </si>
  <si>
    <t>MERANO</t>
  </si>
  <si>
    <t>STOCKS</t>
  </si>
  <si>
    <t>1 50KG CODED</t>
  </si>
  <si>
    <t>FIGURA</t>
  </si>
  <si>
    <t>BENITEZ</t>
  </si>
  <si>
    <t>BULALACAO</t>
  </si>
  <si>
    <t>NAS</t>
  </si>
  <si>
    <t>BILANDO</t>
  </si>
  <si>
    <t>BONIFACIO</t>
  </si>
  <si>
    <t>MANUGAD</t>
  </si>
  <si>
    <t>BRAZAL</t>
  </si>
  <si>
    <t>FRIAS</t>
  </si>
  <si>
    <t>IBBARIENTOS</t>
  </si>
  <si>
    <t>PRESENTATION</t>
  </si>
  <si>
    <t>BOMBASI</t>
  </si>
  <si>
    <t>BRAGA</t>
  </si>
  <si>
    <t>RONO</t>
  </si>
  <si>
    <t>1 PV CYLINDER</t>
  </si>
  <si>
    <t>1 MREG</t>
  </si>
  <si>
    <t>GABRAL</t>
  </si>
  <si>
    <t xml:space="preserve"> 4 NGT</t>
  </si>
  <si>
    <t>A&amp;L</t>
  </si>
  <si>
    <t>PACAMARA</t>
  </si>
  <si>
    <t xml:space="preserve">5 NGT </t>
  </si>
  <si>
    <t>JOLLIBEE</t>
  </si>
  <si>
    <t>6 5OKG CODED</t>
  </si>
  <si>
    <t>PETRON TIGAON</t>
  </si>
  <si>
    <t>PETRON SANGAY</t>
  </si>
  <si>
    <t>ISRAEL</t>
  </si>
  <si>
    <t>BETITO</t>
  </si>
  <si>
    <t>IGNACIO</t>
  </si>
  <si>
    <t>ALMARIO</t>
  </si>
  <si>
    <t>FLORIANO</t>
  </si>
  <si>
    <t>BRUCA</t>
  </si>
  <si>
    <t>1 2.7KG CYLINDER</t>
  </si>
  <si>
    <t>1 GS-3</t>
  </si>
  <si>
    <t>VALENZUELA</t>
  </si>
  <si>
    <t>MANAOG</t>
  </si>
  <si>
    <t>LOBIA</t>
  </si>
  <si>
    <t xml:space="preserve">1 MREG </t>
  </si>
  <si>
    <t>TROYS</t>
  </si>
  <si>
    <t>1 50KG BLUE</t>
  </si>
  <si>
    <t>EDNORMS</t>
  </si>
  <si>
    <t>MAPUTOL</t>
  </si>
  <si>
    <t>HW FRANCIA</t>
  </si>
  <si>
    <t>2 50KG CODED</t>
  </si>
  <si>
    <t>GALVES</t>
  </si>
  <si>
    <t>CORTES</t>
  </si>
  <si>
    <t>CABANAS</t>
  </si>
  <si>
    <t>FERNANDO</t>
  </si>
  <si>
    <t>JOAN</t>
  </si>
  <si>
    <t>PARONDA</t>
  </si>
  <si>
    <t>SEPTIMO</t>
  </si>
  <si>
    <t>CORONEL</t>
  </si>
  <si>
    <t>3 NGT ELITE</t>
  </si>
  <si>
    <t>ARAGDON</t>
  </si>
  <si>
    <t>UPGRADE</t>
  </si>
  <si>
    <t>ABUNDABAR</t>
  </si>
  <si>
    <t>ROSANES</t>
  </si>
  <si>
    <t>ARIJOLA</t>
  </si>
  <si>
    <t>VICENTE</t>
  </si>
  <si>
    <t>CERDON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</si>
</sst>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mmmm\ d"/>
    <numFmt numFmtId="165" formatCode="mm-dd-yyyy"/>
    <numFmt numFmtId="166" formatCode="mmm d yyyy"/>
    <numFmt numFmtId="167" formatCode="0.00_);[Red]\(0.00\)"/>
    <numFmt numFmtId="168" formatCode="0.00;[Red]0.00"/>
  </numFmts>
  <fonts count="11">
    <font>
      <sz val="11.0"/>
      <color theme="1"/>
      <name val="Calibri"/>
      <scheme val="minor"/>
    </font>
    <font>
      <b/>
      <sz val="11.0"/>
      <color rgb="FF000000"/>
      <name val="Calibri"/>
    </font>
    <font/>
    <font>
      <b/>
      <sz val="11.0"/>
      <color theme="1"/>
      <name val="Calibri"/>
    </font>
    <font>
      <sz val="11.0"/>
      <color rgb="FF000000"/>
      <name val="Calibri"/>
    </font>
    <font>
      <sz val="11.0"/>
      <color theme="1"/>
      <name val="Calibri"/>
    </font>
    <font>
      <b/>
      <color theme="1"/>
      <name val="Calibri"/>
      <scheme val="minor"/>
    </font>
    <font>
      <b/>
      <sz val="11.0"/>
      <color rgb="FFFFFFFF"/>
      <name val="Calibri"/>
    </font>
    <font>
      <color theme="1"/>
      <name val="Calibri"/>
      <scheme val="minor"/>
    </font>
    <font>
      <sz val="11.0"/>
      <color theme="1"/>
      <name val="Arial"/>
    </font>
    <font>
      <sz val="11.0"/>
      <color theme="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</fills>
  <borders count="44">
    <border/>
    <border>
      <top style="thin">
        <color rgb="FF000000"/>
      </top>
      <bottom style="thin">
        <color rgb="FF000000"/>
      </bottom>
    </border>
    <border>
      <right style="thick">
        <color rgb="FFFF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medium">
        <color rgb="FFFF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FF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FF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FF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FF0000"/>
      </right>
      <bottom style="thin">
        <color rgb="FF000000"/>
      </bottom>
    </border>
    <border>
      <left style="thin">
        <color rgb="FF000000"/>
      </left>
      <right style="thick">
        <color rgb="FFFF0000"/>
      </right>
      <bottom style="thin">
        <color rgb="FF000000"/>
      </bottom>
    </border>
    <border>
      <left style="thin">
        <color rgb="FF000000"/>
      </left>
      <right style="thick">
        <color rgb="FFFF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right style="thick">
        <color rgb="FFFF0000"/>
      </right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top style="thick">
        <color rgb="FF000000"/>
      </top>
      <bottom style="thick">
        <color rgb="FF000000"/>
      </bottom>
    </border>
    <border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/>
      <bottom style="thick">
        <color rgb="FF000000"/>
      </bottom>
    </border>
    <border>
      <left style="thin">
        <color rgb="FF000000"/>
      </left>
      <right style="thick">
        <color rgb="FF000000"/>
      </right>
      <bottom style="thick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3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1" fillId="0" fontId="2" numFmtId="0" xfId="0" applyBorder="1" applyFont="1"/>
    <xf borderId="2" fillId="0" fontId="2" numFmtId="0" xfId="0" applyBorder="1" applyFont="1"/>
    <xf borderId="1" fillId="2" fontId="1" numFmtId="164" xfId="0" applyAlignment="1" applyBorder="1" applyFont="1" applyNumberFormat="1">
      <alignment horizontal="center"/>
    </xf>
    <xf borderId="0" fillId="0" fontId="3" numFmtId="0" xfId="0" applyFont="1"/>
    <xf borderId="3" fillId="0" fontId="3" numFmtId="0" xfId="0" applyBorder="1" applyFont="1"/>
    <xf borderId="4" fillId="0" fontId="4" numFmtId="0" xfId="0" applyAlignment="1" applyBorder="1" applyFont="1">
      <alignment horizontal="center" readingOrder="0"/>
    </xf>
    <xf borderId="5" fillId="0" fontId="2" numFmtId="0" xfId="0" applyBorder="1" applyFont="1"/>
    <xf borderId="3" fillId="0" fontId="3" numFmtId="0" xfId="0" applyAlignment="1" applyBorder="1" applyFont="1">
      <alignment readingOrder="0"/>
    </xf>
    <xf borderId="6" fillId="0" fontId="4" numFmtId="0" xfId="0" applyAlignment="1" applyBorder="1" applyFont="1">
      <alignment horizontal="center" readingOrder="0"/>
    </xf>
    <xf borderId="3" fillId="0" fontId="5" numFmtId="0" xfId="0" applyBorder="1" applyFont="1"/>
    <xf borderId="3" fillId="0" fontId="5" numFmtId="4" xfId="0" applyAlignment="1" applyBorder="1" applyFont="1" applyNumberFormat="1">
      <alignment horizontal="center"/>
    </xf>
    <xf borderId="6" fillId="3" fontId="5" numFmtId="4" xfId="0" applyAlignment="1" applyBorder="1" applyFill="1" applyFont="1" applyNumberFormat="1">
      <alignment horizontal="center"/>
    </xf>
    <xf borderId="3" fillId="0" fontId="5" numFmtId="0" xfId="0" applyAlignment="1" applyBorder="1" applyFont="1">
      <alignment horizontal="left" readingOrder="0"/>
    </xf>
    <xf borderId="6" fillId="3" fontId="4" numFmtId="4" xfId="0" applyAlignment="1" applyBorder="1" applyFont="1" applyNumberFormat="1">
      <alignment horizontal="center" readingOrder="0"/>
    </xf>
    <xf borderId="3" fillId="0" fontId="5" numFmtId="4" xfId="0" applyAlignment="1" applyBorder="1" applyFont="1" applyNumberFormat="1">
      <alignment horizontal="center" readingOrder="0"/>
    </xf>
    <xf borderId="3" fillId="0" fontId="3" numFmtId="0" xfId="0" applyAlignment="1" applyBorder="1" applyFont="1">
      <alignment horizontal="left"/>
    </xf>
    <xf borderId="3" fillId="0" fontId="3" numFmtId="4" xfId="0" applyAlignment="1" applyBorder="1" applyFont="1" applyNumberFormat="1">
      <alignment horizontal="center"/>
    </xf>
    <xf borderId="0" fillId="3" fontId="6" numFmtId="4" xfId="0" applyAlignment="1" applyFont="1" applyNumberFormat="1">
      <alignment horizontal="center"/>
    </xf>
    <xf borderId="6" fillId="3" fontId="3" numFmtId="4" xfId="0" applyAlignment="1" applyBorder="1" applyFont="1" applyNumberFormat="1">
      <alignment horizontal="center"/>
    </xf>
    <xf borderId="7" fillId="0" fontId="5" numFmtId="0" xfId="0" applyAlignment="1" applyBorder="1" applyFont="1">
      <alignment horizontal="left" readingOrder="0"/>
    </xf>
    <xf borderId="7" fillId="0" fontId="5" numFmtId="4" xfId="0" applyAlignment="1" applyBorder="1" applyFont="1" applyNumberFormat="1">
      <alignment horizontal="center" readingOrder="0"/>
    </xf>
    <xf borderId="8" fillId="0" fontId="4" numFmtId="4" xfId="0" applyAlignment="1" applyBorder="1" applyFont="1" applyNumberFormat="1">
      <alignment horizontal="center" readingOrder="0"/>
    </xf>
    <xf borderId="7" fillId="0" fontId="5" numFmtId="165" xfId="0" applyAlignment="1" applyBorder="1" applyFont="1" applyNumberFormat="1">
      <alignment horizontal="center" readingOrder="0"/>
    </xf>
    <xf borderId="7" fillId="0" fontId="5" numFmtId="4" xfId="0" applyAlignment="1" applyBorder="1" applyFont="1" applyNumberFormat="1">
      <alignment horizontal="center"/>
    </xf>
    <xf borderId="7" fillId="0" fontId="5" numFmtId="166" xfId="0" applyAlignment="1" applyBorder="1" applyFont="1" applyNumberFormat="1">
      <alignment horizontal="center" readingOrder="0"/>
    </xf>
    <xf borderId="7" fillId="3" fontId="3" numFmtId="0" xfId="0" applyAlignment="1" applyBorder="1" applyFont="1">
      <alignment horizontal="left" readingOrder="0"/>
    </xf>
    <xf borderId="7" fillId="3" fontId="3" numFmtId="4" xfId="0" applyAlignment="1" applyBorder="1" applyFont="1" applyNumberFormat="1">
      <alignment horizontal="center"/>
    </xf>
    <xf borderId="8" fillId="3" fontId="1" numFmtId="4" xfId="0" applyAlignment="1" applyBorder="1" applyFont="1" applyNumberFormat="1">
      <alignment horizontal="center" readingOrder="0"/>
    </xf>
    <xf borderId="9" fillId="0" fontId="3" numFmtId="0" xfId="0" applyAlignment="1" applyBorder="1" applyFont="1">
      <alignment horizontal="left" readingOrder="0"/>
    </xf>
    <xf borderId="9" fillId="0" fontId="3" numFmtId="4" xfId="0" applyAlignment="1" applyBorder="1" applyFont="1" applyNumberFormat="1">
      <alignment horizontal="center"/>
    </xf>
    <xf borderId="10" fillId="0" fontId="1" numFmtId="4" xfId="0" applyAlignment="1" applyBorder="1" applyFont="1" applyNumberFormat="1">
      <alignment horizontal="center" readingOrder="0"/>
    </xf>
    <xf borderId="11" fillId="0" fontId="3" numFmtId="167" xfId="0" applyAlignment="1" applyBorder="1" applyFont="1" applyNumberFormat="1">
      <alignment horizontal="left" readingOrder="0"/>
    </xf>
    <xf borderId="11" fillId="0" fontId="3" numFmtId="167" xfId="0" applyAlignment="1" applyBorder="1" applyFont="1" applyNumberFormat="1">
      <alignment horizontal="center"/>
    </xf>
    <xf borderId="12" fillId="4" fontId="3" numFmtId="4" xfId="0" applyAlignment="1" applyBorder="1" applyFill="1" applyFont="1" applyNumberFormat="1">
      <alignment horizontal="center" readingOrder="0"/>
    </xf>
    <xf borderId="11" fillId="0" fontId="3" numFmtId="167" xfId="0" applyAlignment="1" applyBorder="1" applyFont="1" applyNumberFormat="1">
      <alignment horizontal="center" readingOrder="0"/>
    </xf>
    <xf borderId="11" fillId="0" fontId="5" numFmtId="0" xfId="0" applyAlignment="1" applyBorder="1" applyFont="1">
      <alignment horizontal="right"/>
    </xf>
    <xf borderId="11" fillId="0" fontId="5" numFmtId="4" xfId="0" applyAlignment="1" applyBorder="1" applyFont="1" applyNumberFormat="1">
      <alignment horizontal="center"/>
    </xf>
    <xf borderId="13" fillId="0" fontId="5" numFmtId="4" xfId="0" applyAlignment="1" applyBorder="1" applyFont="1" applyNumberFormat="1">
      <alignment horizontal="center"/>
    </xf>
    <xf borderId="3" fillId="0" fontId="5" numFmtId="0" xfId="0" applyAlignment="1" applyBorder="1" applyFont="1">
      <alignment horizontal="left"/>
    </xf>
    <xf borderId="3" fillId="0" fontId="5" numFmtId="4" xfId="0" applyAlignment="1" applyBorder="1" applyFont="1" applyNumberFormat="1">
      <alignment horizontal="left"/>
    </xf>
    <xf borderId="14" fillId="0" fontId="5" numFmtId="4" xfId="0" applyAlignment="1" applyBorder="1" applyFont="1" applyNumberFormat="1">
      <alignment horizontal="left"/>
    </xf>
    <xf borderId="15" fillId="2" fontId="1" numFmtId="0" xfId="0" applyAlignment="1" applyBorder="1" applyFont="1">
      <alignment horizontal="center" readingOrder="0"/>
    </xf>
    <xf borderId="3" fillId="2" fontId="1" numFmtId="4" xfId="0" applyAlignment="1" applyBorder="1" applyFont="1" applyNumberFormat="1">
      <alignment horizontal="center" readingOrder="0"/>
    </xf>
    <xf borderId="14" fillId="2" fontId="3" numFmtId="4" xfId="0" applyAlignment="1" applyBorder="1" applyFont="1" applyNumberFormat="1">
      <alignment horizontal="center"/>
    </xf>
    <xf borderId="16" fillId="0" fontId="4" numFmtId="0" xfId="0" applyAlignment="1" applyBorder="1" applyFont="1">
      <alignment horizontal="right" readingOrder="0"/>
    </xf>
    <xf borderId="3" fillId="0" fontId="4" numFmtId="4" xfId="0" applyAlignment="1" applyBorder="1" applyFont="1" applyNumberFormat="1">
      <alignment horizontal="center" readingOrder="0"/>
    </xf>
    <xf borderId="14" fillId="0" fontId="5" numFmtId="4" xfId="0" applyAlignment="1" applyBorder="1" applyFont="1" applyNumberFormat="1">
      <alignment horizontal="center"/>
    </xf>
    <xf borderId="17" fillId="0" fontId="5" numFmtId="0" xfId="0" applyBorder="1" applyFont="1"/>
    <xf borderId="14" fillId="0" fontId="4" numFmtId="4" xfId="0" applyAlignment="1" applyBorder="1" applyFont="1" applyNumberFormat="1">
      <alignment horizontal="center"/>
    </xf>
    <xf borderId="14" fillId="0" fontId="5" numFmtId="0" xfId="0" applyAlignment="1" applyBorder="1" applyFont="1">
      <alignment horizontal="right"/>
    </xf>
    <xf borderId="18" fillId="5" fontId="5" numFmtId="0" xfId="0" applyAlignment="1" applyBorder="1" applyFill="1" applyFont="1">
      <alignment horizontal="right" readingOrder="0"/>
    </xf>
    <xf borderId="3" fillId="5" fontId="5" numFmtId="4" xfId="0" applyAlignment="1" applyBorder="1" applyFont="1" applyNumberFormat="1">
      <alignment horizontal="center" readingOrder="0"/>
    </xf>
    <xf borderId="0" fillId="0" fontId="5" numFmtId="4" xfId="0" applyAlignment="1" applyFont="1" applyNumberFormat="1">
      <alignment horizontal="center" readingOrder="0"/>
    </xf>
    <xf borderId="16" fillId="0" fontId="4" numFmtId="0" xfId="0" applyAlignment="1" applyBorder="1" applyFont="1">
      <alignment horizontal="right"/>
    </xf>
    <xf borderId="3" fillId="0" fontId="4" numFmtId="4" xfId="0" applyAlignment="1" applyBorder="1" applyFont="1" applyNumberFormat="1">
      <alignment horizontal="center"/>
    </xf>
    <xf borderId="16" fillId="0" fontId="5" numFmtId="0" xfId="0" applyAlignment="1" applyBorder="1" applyFont="1">
      <alignment horizontal="right"/>
    </xf>
    <xf borderId="0" fillId="0" fontId="5" numFmtId="0" xfId="0" applyFont="1"/>
    <xf borderId="0" fillId="0" fontId="5" numFmtId="4" xfId="0" applyAlignment="1" applyFont="1" applyNumberFormat="1">
      <alignment horizontal="center"/>
    </xf>
    <xf borderId="17" fillId="0" fontId="5" numFmtId="4" xfId="0" applyAlignment="1" applyBorder="1" applyFont="1" applyNumberFormat="1">
      <alignment horizontal="center"/>
    </xf>
    <xf borderId="17" fillId="0" fontId="5" numFmtId="4" xfId="0" applyAlignment="1" applyBorder="1" applyFont="1" applyNumberFormat="1">
      <alignment horizontal="center" readingOrder="0"/>
    </xf>
    <xf borderId="19" fillId="0" fontId="7" numFmtId="0" xfId="0" applyAlignment="1" applyBorder="1" applyFont="1">
      <alignment horizontal="center" readingOrder="0"/>
    </xf>
    <xf borderId="20" fillId="0" fontId="2" numFmtId="0" xfId="0" applyBorder="1" applyFont="1"/>
    <xf borderId="21" fillId="0" fontId="2" numFmtId="0" xfId="0" applyBorder="1" applyFont="1"/>
    <xf borderId="0" fillId="0" fontId="5" numFmtId="0" xfId="0" applyAlignment="1" applyFont="1">
      <alignment horizontal="center"/>
    </xf>
    <xf borderId="19" fillId="0" fontId="3" numFmtId="0" xfId="0" applyAlignment="1" applyBorder="1" applyFont="1">
      <alignment horizontal="center" readingOrder="0"/>
    </xf>
    <xf borderId="19" fillId="0" fontId="3" numFmtId="0" xfId="0" applyAlignment="1" applyBorder="1" applyFont="1">
      <alignment horizontal="center"/>
    </xf>
    <xf borderId="0" fillId="0" fontId="5" numFmtId="0" xfId="0" applyFont="1"/>
    <xf borderId="19" fillId="0" fontId="1" numFmtId="0" xfId="0" applyAlignment="1" applyBorder="1" applyFont="1">
      <alignment horizontal="center" readingOrder="0"/>
    </xf>
    <xf borderId="22" fillId="0" fontId="3" numFmtId="0" xfId="0" applyAlignment="1" applyBorder="1" applyFont="1">
      <alignment horizontal="center"/>
    </xf>
    <xf borderId="22" fillId="0" fontId="3" numFmtId="4" xfId="0" applyAlignment="1" applyBorder="1" applyFont="1" applyNumberFormat="1">
      <alignment horizontal="center" readingOrder="0"/>
    </xf>
    <xf borderId="22" fillId="0" fontId="3" numFmtId="0" xfId="0" applyAlignment="1" applyBorder="1" applyFont="1">
      <alignment horizontal="center" readingOrder="0"/>
    </xf>
    <xf borderId="22" fillId="6" fontId="3" numFmtId="4" xfId="0" applyAlignment="1" applyBorder="1" applyFill="1" applyFont="1" applyNumberFormat="1">
      <alignment horizontal="center" readingOrder="0"/>
    </xf>
    <xf borderId="22" fillId="6" fontId="3" numFmtId="0" xfId="0" applyAlignment="1" applyBorder="1" applyFont="1">
      <alignment horizontal="center" readingOrder="0"/>
    </xf>
    <xf borderId="23" fillId="0" fontId="3" numFmtId="0" xfId="0" applyAlignment="1" applyBorder="1" applyFont="1">
      <alignment horizontal="center" readingOrder="0" vertical="center"/>
    </xf>
    <xf borderId="23" fillId="0" fontId="3" numFmtId="0" xfId="0" applyAlignment="1" applyBorder="1" applyFont="1">
      <alignment horizontal="center" vertical="center"/>
    </xf>
    <xf borderId="23" fillId="0" fontId="3" numFmtId="0" xfId="0" applyAlignment="1" applyBorder="1" applyFont="1">
      <alignment horizontal="center" readingOrder="0" shrinkToFit="0" vertical="center" wrapText="1"/>
    </xf>
    <xf borderId="23" fillId="7" fontId="3" numFmtId="0" xfId="0" applyAlignment="1" applyBorder="1" applyFill="1" applyFont="1">
      <alignment horizontal="center" readingOrder="0" vertical="center"/>
    </xf>
    <xf borderId="23" fillId="7" fontId="3" numFmtId="0" xfId="0" applyAlignment="1" applyBorder="1" applyFont="1">
      <alignment horizontal="center" vertical="center"/>
    </xf>
    <xf borderId="23" fillId="7" fontId="3" numFmtId="168" xfId="0" applyAlignment="1" applyBorder="1" applyFont="1" applyNumberFormat="1">
      <alignment horizontal="center" vertical="center"/>
    </xf>
    <xf borderId="23" fillId="0" fontId="3" numFmtId="0" xfId="0" applyAlignment="1" applyBorder="1" applyFont="1">
      <alignment horizontal="center" readingOrder="0"/>
    </xf>
    <xf borderId="24" fillId="8" fontId="3" numFmtId="0" xfId="0" applyAlignment="1" applyBorder="1" applyFill="1" applyFont="1">
      <alignment horizontal="center"/>
    </xf>
    <xf borderId="11" fillId="8" fontId="3" numFmtId="4" xfId="0" applyAlignment="1" applyBorder="1" applyFont="1" applyNumberFormat="1">
      <alignment horizontal="center"/>
    </xf>
    <xf borderId="11" fillId="8" fontId="5" numFmtId="0" xfId="0" applyBorder="1" applyFont="1"/>
    <xf borderId="25" fillId="8" fontId="5" numFmtId="4" xfId="0" applyAlignment="1" applyBorder="1" applyFont="1" applyNumberFormat="1">
      <alignment horizontal="center"/>
    </xf>
    <xf borderId="24" fillId="0" fontId="5" numFmtId="0" xfId="0" applyAlignment="1" applyBorder="1" applyFont="1">
      <alignment horizontal="center" readingOrder="0"/>
    </xf>
    <xf borderId="11" fillId="0" fontId="5" numFmtId="4" xfId="0" applyAlignment="1" applyBorder="1" applyFont="1" applyNumberFormat="1">
      <alignment horizontal="center" readingOrder="0"/>
    </xf>
    <xf borderId="11" fillId="0" fontId="5" numFmtId="0" xfId="0" applyAlignment="1" applyBorder="1" applyFont="1">
      <alignment horizontal="center" readingOrder="0"/>
    </xf>
    <xf borderId="25" fillId="6" fontId="5" numFmtId="0" xfId="0" applyAlignment="1" applyBorder="1" applyFont="1">
      <alignment horizontal="center"/>
    </xf>
    <xf borderId="26" fillId="0" fontId="2" numFmtId="0" xfId="0" applyBorder="1" applyFont="1"/>
    <xf borderId="27" fillId="0" fontId="5" numFmtId="0" xfId="0" applyAlignment="1" applyBorder="1" applyFont="1">
      <alignment horizontal="center" readingOrder="0"/>
    </xf>
    <xf borderId="28" fillId="0" fontId="5" numFmtId="0" xfId="0" applyAlignment="1" applyBorder="1" applyFont="1">
      <alignment horizontal="center" readingOrder="0"/>
    </xf>
    <xf borderId="28" fillId="0" fontId="5" numFmtId="0" xfId="0" applyAlignment="1" applyBorder="1" applyFont="1">
      <alignment horizontal="center"/>
    </xf>
    <xf borderId="29" fillId="0" fontId="5" numFmtId="0" xfId="0" applyAlignment="1" applyBorder="1" applyFont="1">
      <alignment horizontal="center"/>
    </xf>
    <xf borderId="30" fillId="7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 readingOrder="0"/>
    </xf>
    <xf borderId="31" fillId="6" fontId="5" numFmtId="4" xfId="0" applyAlignment="1" applyBorder="1" applyFont="1" applyNumberFormat="1">
      <alignment horizontal="center"/>
    </xf>
    <xf borderId="30" fillId="0" fontId="5" numFmtId="0" xfId="0" applyAlignment="1" applyBorder="1" applyFont="1">
      <alignment horizontal="center" readingOrder="0"/>
    </xf>
    <xf borderId="11" fillId="7" fontId="5" numFmtId="0" xfId="0" applyAlignment="1" applyBorder="1" applyFont="1">
      <alignment horizontal="center" readingOrder="0"/>
    </xf>
    <xf borderId="11" fillId="3" fontId="5" numFmtId="0" xfId="0" applyAlignment="1" applyBorder="1" applyFont="1">
      <alignment horizontal="center"/>
    </xf>
    <xf borderId="11" fillId="3" fontId="5" numFmtId="0" xfId="0" applyAlignment="1" applyBorder="1" applyFont="1">
      <alignment horizontal="center" readingOrder="0"/>
    </xf>
    <xf borderId="32" fillId="7" fontId="5" numFmtId="0" xfId="0" applyAlignment="1" applyBorder="1" applyFont="1">
      <alignment horizontal="center" readingOrder="0"/>
    </xf>
    <xf borderId="25" fillId="3" fontId="5" numFmtId="1" xfId="0" applyAlignment="1" applyBorder="1" applyFont="1" applyNumberFormat="1">
      <alignment horizontal="center"/>
    </xf>
    <xf borderId="3" fillId="0" fontId="5" numFmtId="0" xfId="0" applyAlignment="1" applyBorder="1" applyFont="1">
      <alignment horizontal="center"/>
    </xf>
    <xf borderId="31" fillId="0" fontId="5" numFmtId="0" xfId="0" applyAlignment="1" applyBorder="1" applyFont="1">
      <alignment horizontal="center"/>
    </xf>
    <xf borderId="3" fillId="0" fontId="5" numFmtId="0" xfId="0" applyAlignment="1" applyBorder="1" applyFont="1">
      <alignment horizontal="center"/>
    </xf>
    <xf borderId="30" fillId="7" fontId="5" numFmtId="0" xfId="0" applyAlignment="1" applyBorder="1" applyFont="1">
      <alignment horizontal="center" readingOrder="0"/>
    </xf>
    <xf borderId="3" fillId="5" fontId="5" numFmtId="0" xfId="0" applyAlignment="1" applyBorder="1" applyFont="1">
      <alignment horizontal="center" readingOrder="0"/>
    </xf>
    <xf borderId="11" fillId="7" fontId="5" numFmtId="0" xfId="0" applyAlignment="1" applyBorder="1" applyFont="1">
      <alignment horizontal="center"/>
    </xf>
    <xf borderId="30" fillId="8" fontId="3" numFmtId="0" xfId="0" applyAlignment="1" applyBorder="1" applyFont="1">
      <alignment horizontal="center"/>
    </xf>
    <xf borderId="3" fillId="8" fontId="3" numFmtId="4" xfId="0" applyAlignment="1" applyBorder="1" applyFont="1" applyNumberFormat="1">
      <alignment horizontal="center"/>
    </xf>
    <xf borderId="3" fillId="8" fontId="5" numFmtId="0" xfId="0" applyAlignment="1" applyBorder="1" applyFont="1">
      <alignment horizontal="center"/>
    </xf>
    <xf borderId="31" fillId="8" fontId="5" numFmtId="4" xfId="0" applyAlignment="1" applyBorder="1" applyFont="1" applyNumberFormat="1">
      <alignment horizontal="center"/>
    </xf>
    <xf borderId="30" fillId="8" fontId="3" numFmtId="0" xfId="0" applyAlignment="1" applyBorder="1" applyFont="1">
      <alignment horizontal="center" readingOrder="0"/>
    </xf>
    <xf borderId="32" fillId="7" fontId="5" numFmtId="0" xfId="0" applyAlignment="1" applyBorder="1" applyFont="1">
      <alignment horizontal="center"/>
    </xf>
    <xf borderId="3" fillId="6" fontId="5" numFmtId="4" xfId="0" applyAlignment="1" applyBorder="1" applyFont="1" applyNumberFormat="1">
      <alignment horizontal="center" vertical="bottom"/>
    </xf>
    <xf borderId="33" fillId="7" fontId="5" numFmtId="0" xfId="0" applyAlignment="1" applyBorder="1" applyFont="1">
      <alignment horizontal="center" readingOrder="0"/>
    </xf>
    <xf borderId="34" fillId="0" fontId="5" numFmtId="0" xfId="0" applyAlignment="1" applyBorder="1" applyFont="1">
      <alignment horizontal="center" readingOrder="0"/>
    </xf>
    <xf borderId="34" fillId="5" fontId="5" numFmtId="0" xfId="0" applyAlignment="1" applyBorder="1" applyFont="1">
      <alignment horizontal="center" readingOrder="0"/>
    </xf>
    <xf borderId="35" fillId="7" fontId="5" numFmtId="0" xfId="0" applyAlignment="1" applyBorder="1" applyFont="1">
      <alignment horizontal="center" readingOrder="0"/>
    </xf>
    <xf borderId="35" fillId="3" fontId="5" numFmtId="0" xfId="0" applyAlignment="1" applyBorder="1" applyFont="1">
      <alignment horizontal="center"/>
    </xf>
    <xf borderId="35" fillId="3" fontId="5" numFmtId="0" xfId="0" applyAlignment="1" applyBorder="1" applyFont="1">
      <alignment horizontal="center" readingOrder="0"/>
    </xf>
    <xf borderId="35" fillId="7" fontId="5" numFmtId="0" xfId="0" applyAlignment="1" applyBorder="1" applyFont="1">
      <alignment horizontal="center"/>
    </xf>
    <xf borderId="36" fillId="7" fontId="5" numFmtId="0" xfId="0" applyAlignment="1" applyBorder="1" applyFont="1">
      <alignment horizontal="center" readingOrder="0"/>
    </xf>
    <xf borderId="37" fillId="3" fontId="5" numFmtId="1" xfId="0" applyAlignment="1" applyBorder="1" applyFont="1" applyNumberFormat="1">
      <alignment horizontal="center"/>
    </xf>
    <xf borderId="30" fillId="0" fontId="5" numFmtId="0" xfId="0" applyAlignment="1" applyBorder="1" applyFont="1">
      <alignment horizontal="center"/>
    </xf>
    <xf borderId="0" fillId="0" fontId="8" numFmtId="0" xfId="0" applyAlignment="1" applyFont="1">
      <alignment horizontal="center"/>
    </xf>
    <xf borderId="22" fillId="0" fontId="6" numFmtId="0" xfId="0" applyAlignment="1" applyBorder="1" applyFont="1">
      <alignment horizontal="center" readingOrder="0"/>
    </xf>
    <xf borderId="22" fillId="7" fontId="3" numFmtId="0" xfId="0" applyAlignment="1" applyBorder="1" applyFont="1">
      <alignment horizontal="center"/>
    </xf>
    <xf borderId="22" fillId="7" fontId="3" numFmtId="168" xfId="0" applyAlignment="1" applyBorder="1" applyFont="1" applyNumberFormat="1">
      <alignment horizontal="center"/>
    </xf>
    <xf borderId="0" fillId="0" fontId="8" numFmtId="0" xfId="0" applyAlignment="1" applyFont="1">
      <alignment horizontal="center" readingOrder="0"/>
    </xf>
    <xf borderId="11" fillId="3" fontId="8" numFmtId="0" xfId="0" applyAlignment="1" applyBorder="1" applyFont="1">
      <alignment horizontal="center"/>
    </xf>
    <xf borderId="11" fillId="0" fontId="8" numFmtId="0" xfId="0" applyBorder="1" applyFont="1"/>
    <xf borderId="11" fillId="0" fontId="8" numFmtId="0" xfId="0" applyAlignment="1" applyBorder="1" applyFont="1">
      <alignment horizontal="center" readingOrder="0"/>
    </xf>
    <xf borderId="25" fillId="3" fontId="8" numFmtId="0" xfId="0" applyAlignment="1" applyBorder="1" applyFont="1">
      <alignment horizontal="center"/>
    </xf>
    <xf borderId="3" fillId="3" fontId="8" numFmtId="0" xfId="0" applyAlignment="1" applyBorder="1" applyFont="1">
      <alignment horizontal="center"/>
    </xf>
    <xf borderId="3" fillId="0" fontId="8" numFmtId="0" xfId="0" applyBorder="1" applyFont="1"/>
    <xf borderId="3" fillId="0" fontId="8" numFmtId="0" xfId="0" applyAlignment="1" applyBorder="1" applyFont="1">
      <alignment horizontal="center" readingOrder="0"/>
    </xf>
    <xf borderId="31" fillId="3" fontId="8" numFmtId="0" xfId="0" applyAlignment="1" applyBorder="1" applyFont="1">
      <alignment horizontal="center"/>
    </xf>
    <xf borderId="0" fillId="0" fontId="5" numFmtId="168" xfId="0" applyAlignment="1" applyFont="1" applyNumberFormat="1">
      <alignment horizontal="center"/>
    </xf>
    <xf borderId="3" fillId="0" fontId="8" numFmtId="0" xfId="0" applyAlignment="1" applyBorder="1" applyFont="1">
      <alignment readingOrder="0"/>
    </xf>
    <xf borderId="11" fillId="3" fontId="8" numFmtId="0" xfId="0" applyAlignment="1" applyBorder="1" applyFont="1">
      <alignment horizontal="center" readingOrder="0"/>
    </xf>
    <xf borderId="30" fillId="0" fontId="8" numFmtId="0" xfId="0" applyBorder="1" applyFont="1"/>
    <xf borderId="31" fillId="0" fontId="8" numFmtId="0" xfId="0" applyBorder="1" applyFont="1"/>
    <xf borderId="38" fillId="0" fontId="5" numFmtId="0" xfId="0" applyAlignment="1" applyBorder="1" applyFont="1">
      <alignment horizontal="center" readingOrder="0"/>
    </xf>
    <xf borderId="7" fillId="0" fontId="5" numFmtId="0" xfId="0" applyAlignment="1" applyBorder="1" applyFont="1">
      <alignment horizontal="center" readingOrder="0"/>
    </xf>
    <xf borderId="3" fillId="0" fontId="5" numFmtId="0" xfId="0" applyBorder="1" applyFont="1"/>
    <xf borderId="3" fillId="0" fontId="5" numFmtId="0" xfId="0" applyAlignment="1" applyBorder="1" applyFont="1">
      <alignment readingOrder="0"/>
    </xf>
    <xf borderId="31" fillId="0" fontId="5" numFmtId="0" xfId="0" applyBorder="1" applyFont="1"/>
    <xf borderId="22" fillId="6" fontId="3" numFmtId="0" xfId="0" applyAlignment="1" applyBorder="1" applyFont="1">
      <alignment horizontal="center"/>
    </xf>
    <xf borderId="30" fillId="0" fontId="5" numFmtId="0" xfId="0" applyBorder="1" applyFont="1"/>
    <xf borderId="30" fillId="0" fontId="5" numFmtId="0" xfId="0" applyAlignment="1" applyBorder="1" applyFont="1">
      <alignment readingOrder="0"/>
    </xf>
    <xf borderId="35" fillId="0" fontId="5" numFmtId="0" xfId="0" applyAlignment="1" applyBorder="1" applyFont="1">
      <alignment horizontal="center" readingOrder="0"/>
    </xf>
    <xf borderId="34" fillId="3" fontId="8" numFmtId="0" xfId="0" applyAlignment="1" applyBorder="1" applyFont="1">
      <alignment horizontal="center"/>
    </xf>
    <xf borderId="35" fillId="3" fontId="8" numFmtId="0" xfId="0" applyAlignment="1" applyBorder="1" applyFont="1">
      <alignment horizontal="center"/>
    </xf>
    <xf borderId="34" fillId="0" fontId="8" numFmtId="0" xfId="0" applyBorder="1" applyFont="1"/>
    <xf borderId="34" fillId="0" fontId="8" numFmtId="0" xfId="0" applyAlignment="1" applyBorder="1" applyFont="1">
      <alignment horizontal="center" readingOrder="0"/>
    </xf>
    <xf borderId="39" fillId="3" fontId="8" numFmtId="0" xfId="0" applyAlignment="1" applyBorder="1" applyFont="1">
      <alignment horizontal="center"/>
    </xf>
    <xf borderId="23" fillId="0" fontId="6" numFmtId="0" xfId="0" applyAlignment="1" applyBorder="1" applyFont="1">
      <alignment horizontal="center" readingOrder="0"/>
    </xf>
    <xf borderId="23" fillId="7" fontId="3" numFmtId="1" xfId="0" applyAlignment="1" applyBorder="1" applyFont="1" applyNumberFormat="1">
      <alignment horizontal="center" vertical="center"/>
    </xf>
    <xf borderId="27" fillId="8" fontId="3" numFmtId="0" xfId="0" applyAlignment="1" applyBorder="1" applyFont="1">
      <alignment horizontal="center" readingOrder="0"/>
    </xf>
    <xf borderId="28" fillId="8" fontId="5" numFmtId="0" xfId="0" applyAlignment="1" applyBorder="1" applyFont="1">
      <alignment horizontal="center" readingOrder="0"/>
    </xf>
    <xf borderId="28" fillId="8" fontId="5" numFmtId="0" xfId="0" applyAlignment="1" applyBorder="1" applyFont="1">
      <alignment horizontal="center"/>
    </xf>
    <xf borderId="28" fillId="8" fontId="8" numFmtId="0" xfId="0" applyAlignment="1" applyBorder="1" applyFont="1">
      <alignment horizontal="center"/>
    </xf>
    <xf borderId="29" fillId="8" fontId="5" numFmtId="1" xfId="0" applyAlignment="1" applyBorder="1" applyFont="1" applyNumberFormat="1">
      <alignment horizontal="center"/>
    </xf>
    <xf borderId="0" fillId="7" fontId="5" numFmtId="0" xfId="0" applyAlignment="1" applyFont="1">
      <alignment horizontal="center"/>
    </xf>
    <xf borderId="0" fillId="7" fontId="5" numFmtId="168" xfId="0" applyAlignment="1" applyFont="1" applyNumberFormat="1">
      <alignment horizontal="center"/>
    </xf>
    <xf borderId="3" fillId="7" fontId="5" numFmtId="0" xfId="0" applyAlignment="1" applyBorder="1" applyFont="1">
      <alignment horizontal="center"/>
    </xf>
    <xf borderId="3" fillId="3" fontId="5" numFmtId="0" xfId="0" applyAlignment="1" applyBorder="1" applyFont="1">
      <alignment horizontal="center"/>
    </xf>
    <xf borderId="3" fillId="7" fontId="5" numFmtId="0" xfId="0" applyAlignment="1" applyBorder="1" applyFont="1">
      <alignment horizontal="center" readingOrder="0"/>
    </xf>
    <xf borderId="31" fillId="3" fontId="5" numFmtId="1" xfId="0" applyAlignment="1" applyBorder="1" applyFont="1" applyNumberFormat="1">
      <alignment horizontal="center"/>
    </xf>
    <xf borderId="0" fillId="7" fontId="5" numFmtId="0" xfId="0" applyAlignment="1" applyFont="1">
      <alignment horizontal="center" readingOrder="0"/>
    </xf>
    <xf borderId="3" fillId="8" fontId="5" numFmtId="0" xfId="0" applyAlignment="1" applyBorder="1" applyFont="1">
      <alignment horizontal="center" readingOrder="0"/>
    </xf>
    <xf borderId="3" fillId="8" fontId="8" numFmtId="0" xfId="0" applyAlignment="1" applyBorder="1" applyFont="1">
      <alignment horizontal="center"/>
    </xf>
    <xf borderId="31" fillId="8" fontId="5" numFmtId="1" xfId="0" applyAlignment="1" applyBorder="1" applyFont="1" applyNumberFormat="1">
      <alignment horizontal="center"/>
    </xf>
    <xf borderId="3" fillId="6" fontId="5" numFmtId="4" xfId="0" applyAlignment="1" applyBorder="1" applyFont="1" applyNumberFormat="1">
      <alignment horizontal="center" readingOrder="0"/>
    </xf>
    <xf borderId="30" fillId="0" fontId="8" numFmtId="0" xfId="0" applyAlignment="1" applyBorder="1" applyFont="1">
      <alignment readingOrder="0"/>
    </xf>
    <xf borderId="34" fillId="7" fontId="5" numFmtId="0" xfId="0" applyAlignment="1" applyBorder="1" applyFont="1">
      <alignment horizontal="center"/>
    </xf>
    <xf borderId="34" fillId="3" fontId="5" numFmtId="0" xfId="0" applyAlignment="1" applyBorder="1" applyFont="1">
      <alignment horizontal="center"/>
    </xf>
    <xf borderId="34" fillId="7" fontId="5" numFmtId="0" xfId="0" applyAlignment="1" applyBorder="1" applyFont="1">
      <alignment horizontal="center" readingOrder="0"/>
    </xf>
    <xf borderId="39" fillId="3" fontId="5" numFmtId="1" xfId="0" applyAlignment="1" applyBorder="1" applyFont="1" applyNumberFormat="1">
      <alignment horizontal="center"/>
    </xf>
    <xf borderId="22" fillId="0" fontId="3" numFmtId="168" xfId="0" applyAlignment="1" applyBorder="1" applyFont="1" applyNumberFormat="1">
      <alignment horizontal="center" readingOrder="0"/>
    </xf>
    <xf borderId="0" fillId="7" fontId="9" numFmtId="0" xfId="0" applyAlignment="1" applyFont="1">
      <alignment horizontal="center"/>
    </xf>
    <xf borderId="0" fillId="7" fontId="9" numFmtId="168" xfId="0" applyAlignment="1" applyFont="1" applyNumberFormat="1">
      <alignment horizontal="center"/>
    </xf>
    <xf borderId="11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left" readingOrder="0"/>
    </xf>
    <xf borderId="0" fillId="0" fontId="9" numFmtId="0" xfId="0" applyAlignment="1" applyFont="1">
      <alignment horizontal="center"/>
    </xf>
    <xf borderId="0" fillId="0" fontId="9" numFmtId="168" xfId="0" applyAlignment="1" applyFont="1" applyNumberFormat="1">
      <alignment horizontal="center"/>
    </xf>
    <xf borderId="3" fillId="3" fontId="5" numFmtId="0" xfId="0" applyAlignment="1" applyBorder="1" applyFont="1">
      <alignment horizontal="center" readingOrder="0"/>
    </xf>
    <xf borderId="7" fillId="6" fontId="5" numFmtId="4" xfId="0" applyAlignment="1" applyBorder="1" applyFont="1" applyNumberFormat="1">
      <alignment horizontal="center" readingOrder="0"/>
    </xf>
    <xf borderId="7" fillId="0" fontId="5" numFmtId="0" xfId="0" applyAlignment="1" applyBorder="1" applyFont="1">
      <alignment horizontal="center"/>
    </xf>
    <xf borderId="19" fillId="0" fontId="6" numFmtId="4" xfId="0" applyAlignment="1" applyBorder="1" applyFont="1" applyNumberFormat="1">
      <alignment horizontal="center"/>
    </xf>
    <xf borderId="22" fillId="6" fontId="6" numFmtId="4" xfId="0" applyAlignment="1" applyBorder="1" applyFont="1" applyNumberFormat="1">
      <alignment horizontal="center"/>
    </xf>
    <xf borderId="0" fillId="7" fontId="5" numFmtId="0" xfId="0" applyAlignment="1" applyFont="1">
      <alignment horizontal="left" readingOrder="0"/>
    </xf>
    <xf borderId="0" fillId="0" fontId="8" numFmtId="0" xfId="0" applyAlignment="1" applyFont="1">
      <alignment horizontal="left" readingOrder="0"/>
    </xf>
    <xf borderId="0" fillId="0" fontId="8" numFmtId="4" xfId="0" applyAlignment="1" applyFont="1" applyNumberFormat="1">
      <alignment horizontal="center"/>
    </xf>
    <xf borderId="22" fillId="7" fontId="3" numFmtId="0" xfId="0" applyAlignment="1" applyBorder="1" applyFont="1">
      <alignment horizontal="center" readingOrder="0"/>
    </xf>
    <xf borderId="25" fillId="0" fontId="8" numFmtId="4" xfId="0" applyAlignment="1" applyBorder="1" applyFont="1" applyNumberFormat="1">
      <alignment horizontal="center" readingOrder="0"/>
    </xf>
    <xf borderId="31" fillId="0" fontId="8" numFmtId="4" xfId="0" applyAlignment="1" applyBorder="1" applyFont="1" applyNumberFormat="1">
      <alignment horizontal="center" readingOrder="0"/>
    </xf>
    <xf borderId="0" fillId="0" fontId="3" numFmtId="4" xfId="0" applyAlignment="1" applyFont="1" applyNumberFormat="1">
      <alignment horizontal="center"/>
    </xf>
    <xf borderId="0" fillId="5" fontId="5" numFmtId="0" xfId="0" applyAlignment="1" applyFont="1">
      <alignment horizontal="center"/>
    </xf>
    <xf borderId="0" fillId="5" fontId="9" numFmtId="0" xfId="0" applyAlignment="1" applyFont="1">
      <alignment horizontal="center"/>
    </xf>
    <xf borderId="24" fillId="0" fontId="5" numFmtId="0" xfId="0" applyAlignment="1" applyBorder="1" applyFont="1">
      <alignment horizontal="center"/>
    </xf>
    <xf borderId="30" fillId="0" fontId="5" numFmtId="0" xfId="0" applyAlignment="1" applyBorder="1" applyFont="1">
      <alignment horizontal="center"/>
    </xf>
    <xf borderId="39" fillId="0" fontId="8" numFmtId="4" xfId="0" applyAlignment="1" applyBorder="1" applyFont="1" applyNumberFormat="1">
      <alignment horizontal="center" readingOrder="0"/>
    </xf>
    <xf borderId="0" fillId="0" fontId="10" numFmtId="4" xfId="0" applyAlignment="1" applyFont="1" applyNumberFormat="1">
      <alignment horizontal="center"/>
    </xf>
    <xf borderId="0" fillId="0" fontId="10" numFmtId="0" xfId="0" applyAlignment="1" applyFont="1">
      <alignment horizontal="center"/>
    </xf>
    <xf borderId="0" fillId="0" fontId="5" numFmtId="4" xfId="0" applyFont="1" applyNumberFormat="1"/>
    <xf borderId="33" fillId="0" fontId="5" numFmtId="0" xfId="0" applyAlignment="1" applyBorder="1" applyFont="1">
      <alignment horizontal="center"/>
    </xf>
    <xf borderId="0" fillId="0" fontId="5" numFmtId="167" xfId="0" applyAlignment="1" applyFont="1" applyNumberFormat="1">
      <alignment horizontal="center"/>
    </xf>
    <xf borderId="0" fillId="0" fontId="8" numFmtId="4" xfId="0" applyFont="1" applyNumberFormat="1"/>
    <xf borderId="33" fillId="0" fontId="3" numFmtId="0" xfId="0" applyAlignment="1" applyBorder="1" applyFont="1">
      <alignment horizontal="center" readingOrder="0"/>
    </xf>
    <xf borderId="40" fillId="0" fontId="5" numFmtId="0" xfId="0" applyAlignment="1" applyBorder="1" applyFont="1">
      <alignment horizontal="center"/>
    </xf>
    <xf borderId="41" fillId="0" fontId="2" numFmtId="0" xfId="0" applyBorder="1" applyFont="1"/>
    <xf borderId="34" fillId="0" fontId="5" numFmtId="0" xfId="0" applyAlignment="1" applyBorder="1" applyFont="1">
      <alignment horizontal="center"/>
    </xf>
    <xf borderId="39" fillId="0" fontId="5" numFmtId="0" xfId="0" applyAlignment="1" applyBorder="1" applyFont="1">
      <alignment horizontal="center"/>
    </xf>
    <xf borderId="0" fillId="0" fontId="5" numFmtId="4" xfId="0" applyAlignment="1" applyFont="1" applyNumberFormat="1">
      <alignment horizontal="left"/>
    </xf>
    <xf borderId="0" fillId="0" fontId="5" numFmtId="4" xfId="0" applyAlignment="1" applyFont="1" applyNumberFormat="1">
      <alignment horizontal="right"/>
    </xf>
    <xf borderId="0" fillId="0" fontId="5" numFmtId="167" xfId="0" applyAlignment="1" applyFont="1" applyNumberFormat="1">
      <alignment horizontal="right"/>
    </xf>
    <xf borderId="0" fillId="0" fontId="10" numFmtId="167" xfId="0" applyAlignment="1" applyFont="1" applyNumberFormat="1">
      <alignment horizontal="center"/>
    </xf>
    <xf borderId="0" fillId="0" fontId="5" numFmtId="0" xfId="0" applyAlignment="1" applyFont="1">
      <alignment horizontal="center" readingOrder="0"/>
    </xf>
    <xf borderId="34" fillId="3" fontId="5" numFmtId="0" xfId="0" applyAlignment="1" applyBorder="1" applyFont="1">
      <alignment horizontal="center" readingOrder="0"/>
    </xf>
    <xf borderId="34" fillId="0" fontId="8" numFmtId="0" xfId="0" applyAlignment="1" applyBorder="1" applyFont="1">
      <alignment readingOrder="0"/>
    </xf>
    <xf borderId="0" fillId="0" fontId="3" numFmtId="168" xfId="0" applyAlignment="1" applyFont="1" applyNumberFormat="1">
      <alignment horizontal="center" readingOrder="0"/>
    </xf>
    <xf borderId="33" fillId="0" fontId="8" numFmtId="0" xfId="0" applyBorder="1" applyFont="1"/>
    <xf borderId="39" fillId="0" fontId="8" numFmtId="0" xfId="0" applyBorder="1" applyFont="1"/>
    <xf borderId="26" fillId="0" fontId="3" numFmtId="0" xfId="0" applyAlignment="1" applyBorder="1" applyFont="1">
      <alignment horizontal="center" readingOrder="0"/>
    </xf>
    <xf borderId="42" fillId="0" fontId="5" numFmtId="0" xfId="0" applyAlignment="1" applyBorder="1" applyFont="1">
      <alignment horizontal="center"/>
    </xf>
    <xf borderId="43" fillId="0" fontId="2" numFmtId="0" xfId="0" applyBorder="1" applyFont="1"/>
    <xf borderId="26" fillId="0" fontId="5" numFmtId="0" xfId="0" applyAlignment="1" applyBorder="1" applyFont="1">
      <alignment horizontal="center"/>
    </xf>
    <xf borderId="11" fillId="0" fontId="5" numFmtId="0" xfId="0" applyAlignment="1" applyBorder="1" applyFont="1">
      <alignment horizontal="center"/>
    </xf>
    <xf borderId="25" fillId="0" fontId="5" numFmtId="0" xfId="0" applyAlignment="1" applyBorder="1" applyFont="1">
      <alignment horizontal="center"/>
    </xf>
    <xf borderId="3" fillId="0" fontId="5" numFmtId="3" xfId="0" applyAlignment="1" applyBorder="1" applyFont="1" applyNumberFormat="1">
      <alignment readingOrder="0"/>
    </xf>
    <xf borderId="31" fillId="0" fontId="8" numFmtId="0" xfId="0" applyAlignment="1" applyBorder="1" applyFont="1">
      <alignment readingOrder="0"/>
    </xf>
    <xf borderId="0" fillId="0" fontId="3" numFmtId="168" xfId="0" applyAlignment="1" applyFont="1" applyNumberFormat="1">
      <alignment horizontal="center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2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57"/>
    <col customWidth="1" min="2" max="2" width="17.71"/>
    <col customWidth="1" min="3" max="3" width="10.71"/>
    <col customWidth="1" min="4" max="4" width="24.0"/>
    <col customWidth="1" min="5" max="5" width="19.57"/>
    <col customWidth="1" min="6" max="6" width="10.71"/>
    <col customWidth="1" min="7" max="7" width="21.43"/>
    <col customWidth="1" min="8" max="8" width="17.86"/>
    <col customWidth="1" min="9" max="9" width="10.71"/>
    <col customWidth="1" min="10" max="10" width="19.71"/>
    <col customWidth="1" min="11" max="11" width="18.14"/>
    <col customWidth="1" min="12" max="12" width="10.71"/>
    <col customWidth="1" min="13" max="13" width="19.71"/>
    <col customWidth="1" min="14" max="14" width="21.0"/>
    <col customWidth="1" min="15" max="15" width="10.71"/>
  </cols>
  <sheetData>
    <row r="1">
      <c r="A1" s="1" t="s">
        <v>0</v>
      </c>
      <c r="B1" s="2"/>
      <c r="C1" s="3"/>
      <c r="D1" s="4" t="s">
        <v>1</v>
      </c>
      <c r="E1" s="2"/>
      <c r="F1" s="3"/>
      <c r="G1" s="4" t="s">
        <v>2</v>
      </c>
      <c r="H1" s="2"/>
      <c r="I1" s="3"/>
      <c r="J1" s="4" t="s">
        <v>3</v>
      </c>
      <c r="K1" s="2"/>
      <c r="L1" s="3"/>
      <c r="M1" s="4" t="s">
        <v>4</v>
      </c>
      <c r="N1" s="2"/>
      <c r="O1" s="3"/>
      <c r="P1" s="5"/>
      <c r="Q1" s="5"/>
      <c r="R1" s="5"/>
      <c r="S1" s="5"/>
      <c r="T1" s="5"/>
    </row>
    <row r="2">
      <c r="A2" s="6" t="s">
        <v>5</v>
      </c>
      <c r="B2" s="7" t="s">
        <v>6</v>
      </c>
      <c r="C2" s="8"/>
      <c r="D2" s="6" t="s">
        <v>5</v>
      </c>
      <c r="E2" s="7" t="s">
        <v>7</v>
      </c>
      <c r="F2" s="8"/>
      <c r="G2" s="6" t="s">
        <v>5</v>
      </c>
      <c r="H2" s="7" t="s">
        <v>8</v>
      </c>
      <c r="I2" s="8"/>
      <c r="J2" s="6" t="s">
        <v>5</v>
      </c>
      <c r="K2" s="7" t="s">
        <v>9</v>
      </c>
      <c r="L2" s="8"/>
      <c r="M2" s="6" t="s">
        <v>5</v>
      </c>
      <c r="N2" s="7" t="s">
        <v>7</v>
      </c>
      <c r="O2" s="8"/>
    </row>
    <row r="3">
      <c r="A3" s="9" t="s">
        <v>10</v>
      </c>
      <c r="B3" s="7" t="s">
        <v>11</v>
      </c>
      <c r="C3" s="10" t="s">
        <v>12</v>
      </c>
      <c r="D3" s="9" t="s">
        <v>10</v>
      </c>
      <c r="E3" s="7" t="s">
        <v>13</v>
      </c>
      <c r="F3" s="10" t="s">
        <v>14</v>
      </c>
      <c r="G3" s="9" t="s">
        <v>10</v>
      </c>
      <c r="H3" s="7" t="s">
        <v>15</v>
      </c>
      <c r="I3" s="10" t="s">
        <v>16</v>
      </c>
      <c r="J3" s="9" t="s">
        <v>10</v>
      </c>
      <c r="K3" s="7" t="s">
        <v>17</v>
      </c>
      <c r="L3" s="10" t="s">
        <v>14</v>
      </c>
      <c r="M3" s="9" t="s">
        <v>10</v>
      </c>
      <c r="N3" s="7" t="s">
        <v>9</v>
      </c>
      <c r="O3" s="10" t="s">
        <v>18</v>
      </c>
    </row>
    <row r="4">
      <c r="A4" s="6"/>
      <c r="B4" s="7" t="s">
        <v>19</v>
      </c>
      <c r="C4" s="10" t="s">
        <v>20</v>
      </c>
      <c r="D4" s="6"/>
      <c r="E4" s="7" t="s">
        <v>18</v>
      </c>
      <c r="F4" s="10" t="s">
        <v>21</v>
      </c>
      <c r="G4" s="6"/>
      <c r="H4" s="7" t="s">
        <v>22</v>
      </c>
      <c r="I4" s="10"/>
      <c r="J4" s="6"/>
      <c r="K4" s="7"/>
      <c r="L4" s="10"/>
      <c r="M4" s="6"/>
      <c r="N4" s="7" t="s">
        <v>13</v>
      </c>
      <c r="O4" s="10" t="s">
        <v>23</v>
      </c>
    </row>
    <row r="5">
      <c r="A5" s="6"/>
      <c r="B5" s="7" t="s">
        <v>22</v>
      </c>
      <c r="C5" s="10"/>
      <c r="D5" s="6"/>
      <c r="E5" s="7" t="s">
        <v>24</v>
      </c>
      <c r="F5" s="10"/>
      <c r="G5" s="6"/>
      <c r="H5" s="7"/>
      <c r="I5" s="10"/>
      <c r="J5" s="6"/>
      <c r="K5" s="7"/>
      <c r="L5" s="10"/>
      <c r="M5" s="6"/>
      <c r="N5" s="7" t="s">
        <v>17</v>
      </c>
      <c r="O5" s="10" t="s">
        <v>24</v>
      </c>
    </row>
    <row r="6">
      <c r="A6" s="11" t="s">
        <v>25</v>
      </c>
      <c r="B6" s="12"/>
      <c r="C6" s="13">
        <f>'DAILY STOCKS (W)'!D49+'DAILY STOCKS (W)'!I26</f>
        <v>228900</v>
      </c>
      <c r="D6" s="11" t="s">
        <v>25</v>
      </c>
      <c r="E6" s="12"/>
      <c r="F6" s="13">
        <f>'DAILY STOCKS (TH)'!D49+'DAILY STOCKS (TH)'!I26</f>
        <v>50583</v>
      </c>
      <c r="G6" s="11" t="s">
        <v>25</v>
      </c>
      <c r="H6" s="12"/>
      <c r="I6" s="13">
        <f>'DAILY STOCKS (F)'!D49+'DAILY STOCKS (F)'!I26</f>
        <v>224053</v>
      </c>
      <c r="J6" s="11" t="s">
        <v>25</v>
      </c>
      <c r="K6" s="12"/>
      <c r="L6" s="13">
        <f>'DAILY STOCKS (SAT)'!D49+'DAILY STOCKS (SAT)'!I26</f>
        <v>138215</v>
      </c>
      <c r="M6" s="11" t="s">
        <v>25</v>
      </c>
      <c r="N6" s="12"/>
      <c r="O6" s="13">
        <f>'DAILY STOCKS (SUN)'!D49+'DAILY STOCKS (SUN)'!I26</f>
        <v>155929</v>
      </c>
    </row>
    <row r="7">
      <c r="A7" s="11" t="s">
        <v>26</v>
      </c>
      <c r="B7" s="12"/>
      <c r="C7" s="13">
        <f>SUM(B22:B44)</f>
        <v>5678.26</v>
      </c>
      <c r="D7" s="11" t="s">
        <v>26</v>
      </c>
      <c r="E7" s="12"/>
      <c r="F7" s="13">
        <f>SUM(E22:E44)</f>
        <v>3620</v>
      </c>
      <c r="G7" s="11" t="s">
        <v>26</v>
      </c>
      <c r="H7" s="12"/>
      <c r="I7" s="13">
        <f>SUM(H22:H44)</f>
        <v>4350</v>
      </c>
      <c r="J7" s="11" t="s">
        <v>26</v>
      </c>
      <c r="K7" s="12"/>
      <c r="L7" s="13">
        <f>SUM(K22:K44)</f>
        <v>9200</v>
      </c>
      <c r="M7" s="11" t="s">
        <v>26</v>
      </c>
      <c r="N7" s="12"/>
      <c r="O7" s="13">
        <f>SUM(N22:N44)</f>
        <v>3330</v>
      </c>
    </row>
    <row r="8">
      <c r="A8" s="14" t="s">
        <v>27</v>
      </c>
      <c r="B8" s="12"/>
      <c r="C8" s="13">
        <f>'DAILY STOCKS (W)'!AB100</f>
        <v>14193</v>
      </c>
      <c r="D8" s="14" t="s">
        <v>27</v>
      </c>
      <c r="E8" s="12"/>
      <c r="F8" s="15">
        <f>'DAILY STOCKS (TH)'!AB105</f>
        <v>1276</v>
      </c>
      <c r="G8" s="14" t="s">
        <v>27</v>
      </c>
      <c r="H8" s="12"/>
      <c r="I8" s="15">
        <f>'DAILY STOCKS (F)'!AB105</f>
        <v>13960</v>
      </c>
      <c r="J8" s="14" t="s">
        <v>27</v>
      </c>
      <c r="K8" s="16"/>
      <c r="L8" s="15">
        <f>'DAILY STOCKS (SAT)'!AB105</f>
        <v>6660</v>
      </c>
      <c r="M8" s="14" t="s">
        <v>27</v>
      </c>
      <c r="N8" s="12"/>
      <c r="O8" s="15">
        <f>'DAILY STOCKS (SUN)'!AB105</f>
        <v>8132</v>
      </c>
    </row>
    <row r="9">
      <c r="A9" s="17" t="s">
        <v>28</v>
      </c>
      <c r="B9" s="18"/>
      <c r="C9" s="19">
        <f>C6-C7-C8</f>
        <v>209028.74</v>
      </c>
      <c r="D9" s="17" t="s">
        <v>28</v>
      </c>
      <c r="E9" s="18"/>
      <c r="F9" s="20">
        <f>F6-F7-F8</f>
        <v>45687</v>
      </c>
      <c r="G9" s="17" t="s">
        <v>28</v>
      </c>
      <c r="H9" s="18"/>
      <c r="I9" s="20">
        <f>I6-I7-I8</f>
        <v>205743</v>
      </c>
      <c r="J9" s="17" t="s">
        <v>28</v>
      </c>
      <c r="K9" s="18"/>
      <c r="L9" s="20">
        <f>L6-L7-L8</f>
        <v>122355</v>
      </c>
      <c r="M9" s="17" t="s">
        <v>28</v>
      </c>
      <c r="N9" s="18"/>
      <c r="O9" s="20">
        <f>O6-O7-O8</f>
        <v>144467</v>
      </c>
    </row>
    <row r="10">
      <c r="A10" s="14" t="s">
        <v>29</v>
      </c>
      <c r="B10" s="12"/>
      <c r="C10" s="15">
        <f>'DAILY STOCKS (W)'!AC100</f>
        <v>111487</v>
      </c>
      <c r="D10" s="14" t="s">
        <v>29</v>
      </c>
      <c r="E10" s="12"/>
      <c r="F10" s="15">
        <f>'DAILY STOCKS (TH)'!AC105</f>
        <v>24777</v>
      </c>
      <c r="G10" s="14" t="s">
        <v>29</v>
      </c>
      <c r="H10" s="12"/>
      <c r="I10" s="15">
        <f>'DAILY STOCKS (F)'!AC105</f>
        <v>135322</v>
      </c>
      <c r="J10" s="14" t="s">
        <v>29</v>
      </c>
      <c r="K10" s="12"/>
      <c r="L10" s="15">
        <f>'DAILY STOCKS (SAT)'!AC105</f>
        <v>39009</v>
      </c>
      <c r="M10" s="14" t="s">
        <v>29</v>
      </c>
      <c r="N10" s="12"/>
      <c r="O10" s="15">
        <f>'DAILY STOCKS (SUN)'!AC105</f>
        <v>64639</v>
      </c>
    </row>
    <row r="11">
      <c r="A11" s="14" t="s">
        <v>30</v>
      </c>
      <c r="B11" s="12"/>
      <c r="C11" s="15">
        <f>sum(C12:C15)</f>
        <v>44235.78</v>
      </c>
      <c r="D11" s="14" t="s">
        <v>30</v>
      </c>
      <c r="E11" s="12"/>
      <c r="F11" s="15">
        <f>sum(F12:F15)</f>
        <v>0</v>
      </c>
      <c r="G11" s="14" t="s">
        <v>30</v>
      </c>
      <c r="H11" s="12"/>
      <c r="I11" s="15">
        <f>sum(I12:I15)</f>
        <v>0</v>
      </c>
      <c r="J11" s="14" t="s">
        <v>30</v>
      </c>
      <c r="K11" s="12"/>
      <c r="L11" s="15">
        <f>sum(L12:L15)</f>
        <v>40334</v>
      </c>
      <c r="M11" s="14" t="s">
        <v>30</v>
      </c>
      <c r="N11" s="12"/>
      <c r="O11" s="15">
        <f>sum(O12:O15)</f>
        <v>8172</v>
      </c>
    </row>
    <row r="12">
      <c r="A12" s="21" t="s">
        <v>31</v>
      </c>
      <c r="B12" s="22" t="s">
        <v>32</v>
      </c>
      <c r="C12" s="23" t="s">
        <v>33</v>
      </c>
      <c r="D12" s="21" t="s">
        <v>31</v>
      </c>
      <c r="E12" s="22" t="s">
        <v>32</v>
      </c>
      <c r="F12" s="23" t="s">
        <v>33</v>
      </c>
      <c r="G12" s="21" t="s">
        <v>31</v>
      </c>
      <c r="H12" s="22" t="s">
        <v>32</v>
      </c>
      <c r="I12" s="23" t="s">
        <v>33</v>
      </c>
      <c r="J12" s="21" t="s">
        <v>31</v>
      </c>
      <c r="K12" s="22" t="s">
        <v>32</v>
      </c>
      <c r="L12" s="23" t="s">
        <v>33</v>
      </c>
      <c r="M12" s="21" t="s">
        <v>31</v>
      </c>
      <c r="N12" s="22" t="s">
        <v>32</v>
      </c>
      <c r="O12" s="23" t="s">
        <v>33</v>
      </c>
    </row>
    <row r="13">
      <c r="A13" s="21" t="s">
        <v>34</v>
      </c>
      <c r="B13" s="24">
        <v>44986.0</v>
      </c>
      <c r="C13" s="23">
        <v>10152.0</v>
      </c>
      <c r="D13" s="21"/>
      <c r="E13" s="25"/>
      <c r="F13" s="23"/>
      <c r="G13" s="21"/>
      <c r="H13" s="25"/>
      <c r="I13" s="23"/>
      <c r="J13" s="21" t="s">
        <v>35</v>
      </c>
      <c r="K13" s="26">
        <v>44999.0</v>
      </c>
      <c r="L13" s="23">
        <v>40334.0</v>
      </c>
      <c r="M13" s="21" t="s">
        <v>36</v>
      </c>
      <c r="N13" s="25"/>
      <c r="O13" s="23">
        <v>8172.0</v>
      </c>
    </row>
    <row r="14">
      <c r="A14" s="21" t="s">
        <v>37</v>
      </c>
      <c r="B14" s="24">
        <v>44993.0</v>
      </c>
      <c r="C14" s="23">
        <v>33106.78</v>
      </c>
      <c r="D14" s="21"/>
      <c r="E14" s="25"/>
      <c r="F14" s="23"/>
      <c r="G14" s="21"/>
      <c r="H14" s="25"/>
      <c r="I14" s="23"/>
      <c r="J14" s="21"/>
      <c r="K14" s="25"/>
      <c r="L14" s="23"/>
      <c r="M14" s="21"/>
      <c r="N14" s="25"/>
      <c r="O14" s="23"/>
    </row>
    <row r="15">
      <c r="A15" s="21" t="s">
        <v>38</v>
      </c>
      <c r="B15" s="25"/>
      <c r="C15" s="23">
        <v>977.0</v>
      </c>
      <c r="D15" s="21"/>
      <c r="E15" s="25"/>
      <c r="F15" s="23"/>
      <c r="G15" s="21"/>
      <c r="H15" s="25"/>
      <c r="I15" s="23"/>
      <c r="J15" s="21"/>
      <c r="K15" s="25"/>
      <c r="L15" s="23"/>
      <c r="M15" s="21"/>
      <c r="N15" s="25"/>
      <c r="O15" s="23"/>
    </row>
    <row r="16">
      <c r="A16" s="27" t="s">
        <v>39</v>
      </c>
      <c r="B16" s="28"/>
      <c r="C16" s="29">
        <f>C9-C10-C11</f>
        <v>53305.96</v>
      </c>
      <c r="D16" s="27" t="s">
        <v>39</v>
      </c>
      <c r="E16" s="28"/>
      <c r="F16" s="29">
        <f>F9-F10-F11</f>
        <v>20910</v>
      </c>
      <c r="G16" s="27" t="s">
        <v>39</v>
      </c>
      <c r="H16" s="28"/>
      <c r="I16" s="29">
        <f>I9-I10-I11</f>
        <v>70421</v>
      </c>
      <c r="J16" s="27" t="s">
        <v>39</v>
      </c>
      <c r="K16" s="28"/>
      <c r="L16" s="29">
        <f>L9-L10-L11</f>
        <v>43012</v>
      </c>
      <c r="M16" s="27" t="s">
        <v>39</v>
      </c>
      <c r="N16" s="28"/>
      <c r="O16" s="29">
        <f>O9-O10-O11</f>
        <v>71656</v>
      </c>
    </row>
    <row r="17">
      <c r="A17" s="30" t="s">
        <v>40</v>
      </c>
      <c r="B17" s="31"/>
      <c r="C17" s="32">
        <v>53400.0</v>
      </c>
      <c r="D17" s="30" t="s">
        <v>40</v>
      </c>
      <c r="E17" s="31"/>
      <c r="F17" s="32">
        <v>21022.0</v>
      </c>
      <c r="G17" s="30" t="s">
        <v>40</v>
      </c>
      <c r="H17" s="31"/>
      <c r="I17" s="32">
        <v>70506.0</v>
      </c>
      <c r="J17" s="30" t="s">
        <v>40</v>
      </c>
      <c r="K17" s="31"/>
      <c r="L17" s="32">
        <v>43164.0</v>
      </c>
      <c r="M17" s="30" t="s">
        <v>40</v>
      </c>
      <c r="N17" s="31"/>
      <c r="O17" s="32">
        <v>70990.0</v>
      </c>
    </row>
    <row r="18">
      <c r="A18" s="33" t="s">
        <v>41</v>
      </c>
      <c r="B18" s="34"/>
      <c r="C18" s="35">
        <f>C17-C16</f>
        <v>94.04</v>
      </c>
      <c r="D18" s="33" t="s">
        <v>41</v>
      </c>
      <c r="E18" s="34"/>
      <c r="F18" s="35">
        <f>F17-F16</f>
        <v>112</v>
      </c>
      <c r="G18" s="33" t="s">
        <v>41</v>
      </c>
      <c r="H18" s="34"/>
      <c r="I18" s="35">
        <f>I17-I16</f>
        <v>85</v>
      </c>
      <c r="J18" s="33" t="s">
        <v>41</v>
      </c>
      <c r="K18" s="34"/>
      <c r="L18" s="35">
        <f>L17-L16</f>
        <v>152</v>
      </c>
      <c r="M18" s="33" t="s">
        <v>41</v>
      </c>
      <c r="N18" s="36" t="s">
        <v>42</v>
      </c>
      <c r="O18" s="35">
        <f>O17-O16</f>
        <v>-666</v>
      </c>
    </row>
    <row r="19">
      <c r="A19" s="37"/>
      <c r="B19" s="38"/>
      <c r="C19" s="39"/>
      <c r="D19" s="37"/>
      <c r="E19" s="38"/>
      <c r="F19" s="39"/>
      <c r="G19" s="37"/>
      <c r="H19" s="38"/>
      <c r="I19" s="39"/>
      <c r="J19" s="37"/>
      <c r="K19" s="38"/>
      <c r="L19" s="39"/>
      <c r="M19" s="37"/>
      <c r="N19" s="38"/>
      <c r="O19" s="39"/>
    </row>
    <row r="20">
      <c r="A20" s="40" t="s">
        <v>43</v>
      </c>
      <c r="B20" s="41"/>
      <c r="C20" s="42"/>
      <c r="D20" s="40" t="s">
        <v>43</v>
      </c>
      <c r="E20" s="41"/>
      <c r="F20" s="42"/>
      <c r="G20" s="40" t="s">
        <v>43</v>
      </c>
      <c r="H20" s="41"/>
      <c r="I20" s="42"/>
      <c r="J20" s="40" t="s">
        <v>43</v>
      </c>
      <c r="K20" s="41"/>
      <c r="L20" s="42"/>
      <c r="M20" s="40" t="s">
        <v>43</v>
      </c>
      <c r="N20" s="41"/>
      <c r="O20" s="42"/>
    </row>
    <row r="21">
      <c r="A21" s="43" t="s">
        <v>44</v>
      </c>
      <c r="B21" s="44" t="s">
        <v>45</v>
      </c>
      <c r="C21" s="45"/>
      <c r="D21" s="43" t="s">
        <v>44</v>
      </c>
      <c r="E21" s="44" t="s">
        <v>45</v>
      </c>
      <c r="F21" s="45"/>
      <c r="G21" s="43" t="s">
        <v>44</v>
      </c>
      <c r="H21" s="44" t="s">
        <v>45</v>
      </c>
      <c r="I21" s="45"/>
      <c r="J21" s="43" t="s">
        <v>44</v>
      </c>
      <c r="K21" s="44" t="s">
        <v>45</v>
      </c>
      <c r="L21" s="45"/>
      <c r="M21" s="43" t="s">
        <v>44</v>
      </c>
      <c r="N21" s="44" t="s">
        <v>45</v>
      </c>
      <c r="O21" s="45"/>
    </row>
    <row r="22">
      <c r="A22" s="46" t="s">
        <v>46</v>
      </c>
      <c r="B22" s="47">
        <v>500.0</v>
      </c>
      <c r="C22" s="48"/>
      <c r="D22" s="46" t="s">
        <v>47</v>
      </c>
      <c r="E22" s="47">
        <v>750.0</v>
      </c>
      <c r="F22" s="48"/>
      <c r="G22" s="46" t="s">
        <v>46</v>
      </c>
      <c r="H22" s="16">
        <v>800.0</v>
      </c>
      <c r="I22" s="48"/>
      <c r="J22" s="46" t="s">
        <v>48</v>
      </c>
      <c r="K22" s="47">
        <v>300.0</v>
      </c>
      <c r="L22" s="49"/>
      <c r="M22" s="46" t="s">
        <v>49</v>
      </c>
      <c r="N22" s="47">
        <v>350.0</v>
      </c>
      <c r="O22" s="48"/>
    </row>
    <row r="23">
      <c r="A23" s="46" t="s">
        <v>49</v>
      </c>
      <c r="B23" s="47">
        <v>350.0</v>
      </c>
      <c r="C23" s="48"/>
      <c r="D23" s="46" t="s">
        <v>50</v>
      </c>
      <c r="E23" s="47">
        <v>1400.0</v>
      </c>
      <c r="F23" s="50"/>
      <c r="G23" s="46" t="s">
        <v>49</v>
      </c>
      <c r="H23" s="16">
        <v>450.0</v>
      </c>
      <c r="I23" s="51"/>
      <c r="J23" s="46" t="s">
        <v>51</v>
      </c>
      <c r="K23" s="47">
        <v>300.0</v>
      </c>
      <c r="L23" s="48"/>
      <c r="M23" s="46" t="s">
        <v>52</v>
      </c>
      <c r="N23" s="47">
        <v>400.0</v>
      </c>
      <c r="O23" s="48"/>
    </row>
    <row r="24">
      <c r="A24" s="46" t="s">
        <v>52</v>
      </c>
      <c r="B24" s="47">
        <v>500.0</v>
      </c>
      <c r="C24" s="48"/>
      <c r="D24" s="46" t="s">
        <v>53</v>
      </c>
      <c r="E24" s="47">
        <v>150.0</v>
      </c>
      <c r="F24" s="50"/>
      <c r="G24" s="46" t="s">
        <v>54</v>
      </c>
      <c r="H24" s="47">
        <v>500.0</v>
      </c>
      <c r="I24" s="48"/>
      <c r="J24" s="46" t="s">
        <v>46</v>
      </c>
      <c r="K24" s="47">
        <v>300.0</v>
      </c>
      <c r="L24" s="48"/>
      <c r="M24" s="46" t="s">
        <v>55</v>
      </c>
      <c r="N24" s="47">
        <v>750.0</v>
      </c>
      <c r="O24" s="48"/>
    </row>
    <row r="25">
      <c r="A25" s="52" t="s">
        <v>56</v>
      </c>
      <c r="B25" s="53">
        <v>1000.0</v>
      </c>
      <c r="C25" s="48"/>
      <c r="D25" s="46" t="s">
        <v>49</v>
      </c>
      <c r="E25" s="47">
        <v>350.0</v>
      </c>
      <c r="F25" s="48"/>
      <c r="G25" s="46" t="s">
        <v>46</v>
      </c>
      <c r="H25" s="47">
        <v>1000.0</v>
      </c>
      <c r="I25" s="48"/>
      <c r="J25" s="46" t="s">
        <v>57</v>
      </c>
      <c r="K25" s="47">
        <v>500.0</v>
      </c>
      <c r="L25" s="48"/>
      <c r="M25" s="46" t="s">
        <v>58</v>
      </c>
      <c r="N25" s="47">
        <v>1400.0</v>
      </c>
      <c r="O25" s="48"/>
    </row>
    <row r="26">
      <c r="A26" s="46" t="s">
        <v>59</v>
      </c>
      <c r="B26" s="47">
        <v>500.0</v>
      </c>
      <c r="C26" s="51"/>
      <c r="D26" s="46" t="s">
        <v>60</v>
      </c>
      <c r="E26" s="47">
        <v>400.0</v>
      </c>
      <c r="F26" s="51"/>
      <c r="G26" s="46" t="s">
        <v>52</v>
      </c>
      <c r="H26" s="47">
        <v>600.0</v>
      </c>
      <c r="I26" s="51"/>
      <c r="J26" s="46" t="s">
        <v>61</v>
      </c>
      <c r="K26" s="47">
        <v>1400.0</v>
      </c>
      <c r="L26" s="51"/>
      <c r="M26" s="46" t="s">
        <v>62</v>
      </c>
      <c r="N26" s="47">
        <v>50.0</v>
      </c>
      <c r="O26" s="51"/>
    </row>
    <row r="27">
      <c r="A27" s="46" t="s">
        <v>63</v>
      </c>
      <c r="B27" s="47">
        <v>20.0</v>
      </c>
      <c r="C27" s="51"/>
      <c r="D27" s="46" t="s">
        <v>64</v>
      </c>
      <c r="E27" s="47">
        <v>70.0</v>
      </c>
      <c r="F27" s="51"/>
      <c r="G27" s="46" t="s">
        <v>65</v>
      </c>
      <c r="H27" s="54">
        <v>1000.0</v>
      </c>
      <c r="I27" s="51"/>
      <c r="J27" s="46" t="s">
        <v>49</v>
      </c>
      <c r="K27" s="47">
        <v>200.0</v>
      </c>
      <c r="L27" s="51"/>
      <c r="M27" s="46" t="s">
        <v>66</v>
      </c>
      <c r="N27" s="47">
        <v>80.0</v>
      </c>
      <c r="O27" s="51"/>
    </row>
    <row r="28">
      <c r="A28" s="46" t="s">
        <v>67</v>
      </c>
      <c r="B28" s="47">
        <v>298.26</v>
      </c>
      <c r="C28" s="51"/>
      <c r="D28" s="46" t="s">
        <v>46</v>
      </c>
      <c r="E28" s="47">
        <v>500.0</v>
      </c>
      <c r="F28" s="51"/>
      <c r="G28" s="46"/>
      <c r="H28" s="47"/>
      <c r="I28" s="51"/>
      <c r="J28" s="46" t="s">
        <v>68</v>
      </c>
      <c r="K28" s="47">
        <v>500.0</v>
      </c>
      <c r="L28" s="51"/>
      <c r="M28" s="46" t="s">
        <v>48</v>
      </c>
      <c r="N28" s="47">
        <v>300.0</v>
      </c>
      <c r="O28" s="51"/>
    </row>
    <row r="29" ht="15.75" customHeight="1">
      <c r="A29" s="46" t="s">
        <v>69</v>
      </c>
      <c r="B29" s="47">
        <v>2250.0</v>
      </c>
      <c r="C29" s="51"/>
      <c r="D29" s="55"/>
      <c r="E29" s="56"/>
      <c r="F29" s="51"/>
      <c r="G29" s="55"/>
      <c r="H29" s="56"/>
      <c r="I29" s="51"/>
      <c r="J29" s="46" t="s">
        <v>70</v>
      </c>
      <c r="K29" s="47">
        <v>300.0</v>
      </c>
      <c r="L29" s="51"/>
      <c r="M29" s="55"/>
      <c r="N29" s="56"/>
      <c r="O29" s="51"/>
    </row>
    <row r="30" ht="15.75" customHeight="1">
      <c r="A30" s="46" t="s">
        <v>71</v>
      </c>
      <c r="B30" s="47">
        <v>260.0</v>
      </c>
      <c r="C30" s="51"/>
      <c r="D30" s="55"/>
      <c r="E30" s="56"/>
      <c r="F30" s="51"/>
      <c r="G30" s="55"/>
      <c r="H30" s="56"/>
      <c r="I30" s="51"/>
      <c r="J30" s="46" t="s">
        <v>72</v>
      </c>
      <c r="K30" s="47">
        <v>3800.0</v>
      </c>
      <c r="L30" s="51"/>
      <c r="M30" s="55"/>
      <c r="N30" s="56"/>
      <c r="O30" s="51"/>
    </row>
    <row r="31" ht="15.75" customHeight="1">
      <c r="A31" s="46"/>
      <c r="B31" s="47"/>
      <c r="C31" s="51"/>
      <c r="D31" s="55"/>
      <c r="E31" s="56"/>
      <c r="F31" s="51"/>
      <c r="G31" s="55"/>
      <c r="H31" s="56"/>
      <c r="I31" s="51"/>
      <c r="J31" s="46" t="s">
        <v>73</v>
      </c>
      <c r="K31" s="47">
        <v>1600.0</v>
      </c>
      <c r="L31" s="51"/>
      <c r="M31" s="55"/>
      <c r="N31" s="56"/>
      <c r="O31" s="51"/>
    </row>
    <row r="32" ht="15.75" customHeight="1">
      <c r="A32" s="55"/>
      <c r="B32" s="56"/>
      <c r="C32" s="51"/>
      <c r="D32" s="55"/>
      <c r="E32" s="56"/>
      <c r="F32" s="51"/>
      <c r="G32" s="55"/>
      <c r="H32" s="56"/>
      <c r="I32" s="51"/>
      <c r="J32" s="55"/>
      <c r="K32" s="56"/>
      <c r="L32" s="51"/>
      <c r="M32" s="55"/>
      <c r="N32" s="56"/>
      <c r="O32" s="51"/>
    </row>
    <row r="33" ht="15.75" customHeight="1">
      <c r="A33" s="55"/>
      <c r="B33" s="56"/>
      <c r="C33" s="48"/>
      <c r="D33" s="55"/>
      <c r="E33" s="56"/>
      <c r="F33" s="48"/>
      <c r="G33" s="55"/>
      <c r="H33" s="56"/>
      <c r="I33" s="48"/>
      <c r="J33" s="55"/>
      <c r="K33" s="56"/>
      <c r="L33" s="48"/>
      <c r="M33" s="55"/>
      <c r="N33" s="56"/>
      <c r="O33" s="48"/>
    </row>
    <row r="34" ht="15.75" customHeight="1">
      <c r="A34" s="55"/>
      <c r="B34" s="56"/>
      <c r="C34" s="48"/>
      <c r="D34" s="55"/>
      <c r="E34" s="56"/>
      <c r="F34" s="48"/>
      <c r="G34" s="55"/>
      <c r="H34" s="56"/>
      <c r="I34" s="48"/>
      <c r="J34" s="55"/>
      <c r="K34" s="56"/>
      <c r="L34" s="48"/>
      <c r="M34" s="55"/>
      <c r="N34" s="56"/>
      <c r="O34" s="48"/>
    </row>
    <row r="35" ht="15.75" customHeight="1">
      <c r="A35" s="55"/>
      <c r="B35" s="56"/>
      <c r="C35" s="48"/>
      <c r="D35" s="55"/>
      <c r="E35" s="56"/>
      <c r="F35" s="48"/>
      <c r="G35" s="55"/>
      <c r="H35" s="56"/>
      <c r="I35" s="48"/>
      <c r="J35" s="55"/>
      <c r="K35" s="56"/>
      <c r="L35" s="48"/>
      <c r="M35" s="55"/>
      <c r="N35" s="56"/>
      <c r="O35" s="48"/>
    </row>
    <row r="36" ht="15.75" customHeight="1">
      <c r="A36" s="57"/>
      <c r="B36" s="12"/>
      <c r="C36" s="48"/>
      <c r="D36" s="57"/>
      <c r="E36" s="12"/>
      <c r="F36" s="48"/>
      <c r="G36" s="57"/>
      <c r="H36" s="12"/>
      <c r="I36" s="48"/>
      <c r="J36" s="57"/>
      <c r="K36" s="12"/>
      <c r="L36" s="48"/>
      <c r="M36" s="57"/>
      <c r="N36" s="12"/>
      <c r="O36" s="48"/>
    </row>
    <row r="37" ht="15.75" customHeight="1">
      <c r="A37" s="57"/>
      <c r="B37" s="12"/>
      <c r="C37" s="48"/>
      <c r="D37" s="57"/>
      <c r="E37" s="12"/>
      <c r="F37" s="48"/>
      <c r="G37" s="57"/>
      <c r="H37" s="12"/>
      <c r="I37" s="48"/>
      <c r="J37" s="57"/>
      <c r="K37" s="12"/>
      <c r="L37" s="48"/>
      <c r="M37" s="57"/>
      <c r="N37" s="12"/>
      <c r="O37" s="48"/>
    </row>
    <row r="38" ht="15.75" customHeight="1">
      <c r="A38" s="57"/>
      <c r="B38" s="12"/>
      <c r="C38" s="48"/>
      <c r="D38" s="57"/>
      <c r="E38" s="12"/>
      <c r="F38" s="48"/>
      <c r="G38" s="57"/>
      <c r="H38" s="12"/>
      <c r="I38" s="48"/>
      <c r="J38" s="57"/>
      <c r="K38" s="12"/>
      <c r="L38" s="48"/>
      <c r="M38" s="57"/>
      <c r="N38" s="12"/>
      <c r="O38" s="48"/>
    </row>
    <row r="39" ht="15.75" customHeight="1">
      <c r="A39" s="57"/>
      <c r="B39" s="12"/>
      <c r="C39" s="48"/>
      <c r="D39" s="57"/>
      <c r="E39" s="12"/>
      <c r="F39" s="48"/>
      <c r="G39" s="57"/>
      <c r="H39" s="12"/>
      <c r="I39" s="48"/>
      <c r="J39" s="57"/>
      <c r="K39" s="12"/>
      <c r="L39" s="48"/>
      <c r="M39" s="57"/>
      <c r="N39" s="12"/>
      <c r="O39" s="48"/>
    </row>
    <row r="40" ht="15.75" customHeight="1">
      <c r="A40" s="57"/>
      <c r="B40" s="12"/>
      <c r="C40" s="48"/>
      <c r="D40" s="57"/>
      <c r="E40" s="12"/>
      <c r="F40" s="48"/>
      <c r="G40" s="57"/>
      <c r="H40" s="12"/>
      <c r="I40" s="48"/>
      <c r="J40" s="57"/>
      <c r="K40" s="12"/>
      <c r="L40" s="48"/>
      <c r="M40" s="57"/>
      <c r="N40" s="12"/>
      <c r="O40" s="48"/>
    </row>
    <row r="41" ht="15.75" customHeight="1">
      <c r="A41" s="57"/>
      <c r="B41" s="12"/>
      <c r="C41" s="48"/>
      <c r="D41" s="57"/>
      <c r="E41" s="12"/>
      <c r="F41" s="48"/>
      <c r="G41" s="57"/>
      <c r="H41" s="12"/>
      <c r="I41" s="48"/>
      <c r="J41" s="57"/>
      <c r="K41" s="12"/>
      <c r="L41" s="48"/>
      <c r="M41" s="57"/>
      <c r="N41" s="12"/>
      <c r="O41" s="48"/>
    </row>
    <row r="42" ht="15.75" customHeight="1">
      <c r="A42" s="57"/>
      <c r="B42" s="12"/>
      <c r="C42" s="48"/>
      <c r="D42" s="57"/>
      <c r="E42" s="12"/>
      <c r="F42" s="48"/>
      <c r="G42" s="57"/>
      <c r="H42" s="12"/>
      <c r="I42" s="48"/>
      <c r="J42" s="57"/>
      <c r="K42" s="12"/>
      <c r="L42" s="48"/>
      <c r="M42" s="57"/>
      <c r="N42" s="12"/>
      <c r="O42" s="48"/>
    </row>
    <row r="43" ht="15.75" customHeight="1">
      <c r="A43" s="57"/>
      <c r="B43" s="12"/>
      <c r="C43" s="48"/>
      <c r="D43" s="57"/>
      <c r="E43" s="12"/>
      <c r="F43" s="48"/>
      <c r="G43" s="57"/>
      <c r="H43" s="12"/>
      <c r="I43" s="48"/>
      <c r="J43" s="57"/>
      <c r="K43" s="12"/>
      <c r="L43" s="48"/>
      <c r="M43" s="57"/>
      <c r="N43" s="12"/>
      <c r="O43" s="48"/>
    </row>
    <row r="44" ht="15.75" customHeight="1">
      <c r="A44" s="57"/>
      <c r="B44" s="12"/>
      <c r="C44" s="48"/>
      <c r="D44" s="57"/>
      <c r="E44" s="12"/>
      <c r="F44" s="48"/>
      <c r="G44" s="57"/>
      <c r="H44" s="12"/>
      <c r="I44" s="48"/>
      <c r="J44" s="57"/>
      <c r="K44" s="12"/>
      <c r="L44" s="48"/>
      <c r="M44" s="57"/>
      <c r="N44" s="12"/>
      <c r="O44" s="48"/>
    </row>
    <row r="45" ht="15.75" customHeight="1">
      <c r="A45" s="57"/>
      <c r="B45" s="12"/>
      <c r="C45" s="48"/>
      <c r="D45" s="57"/>
      <c r="E45" s="12"/>
      <c r="F45" s="48"/>
      <c r="G45" s="57"/>
      <c r="H45" s="12"/>
      <c r="I45" s="48"/>
      <c r="J45" s="57"/>
      <c r="K45" s="12"/>
      <c r="L45" s="48"/>
      <c r="M45" s="57"/>
      <c r="N45" s="12"/>
      <c r="O45" s="48"/>
    </row>
    <row r="46" ht="15.75" customHeight="1">
      <c r="A46" s="57"/>
      <c r="B46" s="12"/>
      <c r="C46" s="48"/>
      <c r="D46" s="57"/>
      <c r="E46" s="12"/>
      <c r="F46" s="48"/>
      <c r="G46" s="57"/>
      <c r="H46" s="12"/>
      <c r="I46" s="48"/>
      <c r="J46" s="57"/>
      <c r="K46" s="12"/>
      <c r="L46" s="48"/>
      <c r="M46" s="57"/>
      <c r="N46" s="12"/>
      <c r="O46" s="48"/>
    </row>
    <row r="47" ht="15.75" customHeight="1">
      <c r="A47" s="57"/>
      <c r="B47" s="12"/>
      <c r="C47" s="48"/>
      <c r="D47" s="57"/>
      <c r="E47" s="12"/>
      <c r="F47" s="48"/>
      <c r="G47" s="57"/>
      <c r="H47" s="12"/>
      <c r="I47" s="48"/>
      <c r="J47" s="57"/>
      <c r="K47" s="12"/>
      <c r="L47" s="48"/>
      <c r="M47" s="57"/>
      <c r="N47" s="12"/>
      <c r="O47" s="48"/>
    </row>
    <row r="48" ht="15.75" customHeight="1">
      <c r="A48" s="57"/>
      <c r="B48" s="12"/>
      <c r="C48" s="48"/>
      <c r="D48" s="57"/>
      <c r="E48" s="12"/>
      <c r="F48" s="48"/>
      <c r="G48" s="57"/>
      <c r="H48" s="12"/>
      <c r="I48" s="48"/>
      <c r="J48" s="57"/>
      <c r="K48" s="12"/>
      <c r="L48" s="48"/>
      <c r="M48" s="57"/>
      <c r="N48" s="12"/>
      <c r="O48" s="48"/>
    </row>
    <row r="49" ht="15.75" customHeight="1">
      <c r="A49" s="58"/>
      <c r="B49" s="59"/>
      <c r="C49" s="60"/>
      <c r="D49" s="58"/>
      <c r="E49" s="59"/>
      <c r="F49" s="60"/>
      <c r="G49" s="58"/>
      <c r="H49" s="59"/>
      <c r="I49" s="60"/>
      <c r="J49" s="58"/>
      <c r="K49" s="59"/>
      <c r="L49" s="60"/>
      <c r="M49" s="58"/>
      <c r="N49" s="59"/>
      <c r="O49" s="61"/>
    </row>
    <row r="50" ht="15.75" customHeight="1">
      <c r="A50" s="58"/>
      <c r="B50" s="59"/>
      <c r="C50" s="60"/>
      <c r="D50" s="58"/>
      <c r="E50" s="59"/>
      <c r="F50" s="60"/>
      <c r="G50" s="58"/>
      <c r="H50" s="59"/>
      <c r="I50" s="60"/>
      <c r="J50" s="58"/>
      <c r="K50" s="59"/>
      <c r="L50" s="60"/>
      <c r="M50" s="58"/>
      <c r="N50" s="59"/>
      <c r="O50" s="60"/>
    </row>
    <row r="51" ht="15.75" customHeight="1">
      <c r="A51" s="58"/>
      <c r="B51" s="59"/>
      <c r="C51" s="60"/>
      <c r="D51" s="58"/>
      <c r="E51" s="59"/>
      <c r="F51" s="60"/>
      <c r="G51" s="58"/>
      <c r="H51" s="59"/>
      <c r="I51" s="60"/>
      <c r="J51" s="58"/>
      <c r="K51" s="59"/>
      <c r="L51" s="60"/>
      <c r="M51" s="58"/>
      <c r="N51" s="59"/>
      <c r="O51" s="60"/>
    </row>
    <row r="52" ht="15.75" customHeight="1">
      <c r="A52" s="58"/>
      <c r="B52" s="59"/>
      <c r="C52" s="60"/>
      <c r="D52" s="58"/>
      <c r="E52" s="59"/>
      <c r="F52" s="60"/>
      <c r="G52" s="58"/>
      <c r="H52" s="59"/>
      <c r="I52" s="60"/>
      <c r="J52" s="58"/>
      <c r="K52" s="59"/>
      <c r="L52" s="60"/>
      <c r="M52" s="58"/>
      <c r="N52" s="59"/>
      <c r="O52" s="60"/>
    </row>
    <row r="53" ht="15.75" customHeight="1">
      <c r="A53" s="58"/>
      <c r="B53" s="59"/>
      <c r="C53" s="60"/>
      <c r="D53" s="58"/>
      <c r="E53" s="59"/>
      <c r="F53" s="60"/>
      <c r="G53" s="58"/>
      <c r="H53" s="59"/>
      <c r="I53" s="60"/>
      <c r="J53" s="58"/>
      <c r="K53" s="59"/>
      <c r="L53" s="60"/>
      <c r="M53" s="58"/>
      <c r="N53" s="59"/>
      <c r="O53" s="60"/>
    </row>
    <row r="54" ht="15.75" customHeight="1">
      <c r="A54" s="58"/>
      <c r="B54" s="59"/>
      <c r="C54" s="60"/>
      <c r="D54" s="58"/>
      <c r="E54" s="59"/>
      <c r="F54" s="60"/>
      <c r="G54" s="58"/>
      <c r="H54" s="59"/>
      <c r="I54" s="60"/>
      <c r="J54" s="58"/>
      <c r="K54" s="59"/>
      <c r="L54" s="60"/>
      <c r="M54" s="58"/>
      <c r="N54" s="59"/>
      <c r="O54" s="60"/>
    </row>
    <row r="55" ht="15.75" customHeight="1">
      <c r="A55" s="58"/>
      <c r="B55" s="59"/>
      <c r="C55" s="60"/>
      <c r="D55" s="58"/>
      <c r="E55" s="59"/>
      <c r="F55" s="60"/>
      <c r="G55" s="58"/>
      <c r="H55" s="59"/>
      <c r="I55" s="60"/>
      <c r="J55" s="58"/>
      <c r="K55" s="59"/>
      <c r="L55" s="60"/>
      <c r="M55" s="58"/>
      <c r="N55" s="59"/>
      <c r="O55" s="60"/>
    </row>
    <row r="56" ht="15.75" customHeight="1">
      <c r="A56" s="58"/>
      <c r="B56" s="59"/>
      <c r="C56" s="60"/>
      <c r="D56" s="58"/>
      <c r="E56" s="59"/>
      <c r="F56" s="60"/>
      <c r="G56" s="58"/>
      <c r="H56" s="59"/>
      <c r="I56" s="60"/>
      <c r="J56" s="58"/>
      <c r="K56" s="59"/>
      <c r="L56" s="60"/>
      <c r="M56" s="58"/>
      <c r="N56" s="59"/>
      <c r="O56" s="60"/>
    </row>
    <row r="57" ht="15.75" customHeight="1">
      <c r="A57" s="58"/>
      <c r="B57" s="59"/>
      <c r="C57" s="60"/>
      <c r="D57" s="58"/>
      <c r="E57" s="59"/>
      <c r="F57" s="60"/>
      <c r="G57" s="58"/>
      <c r="H57" s="59"/>
      <c r="I57" s="60"/>
      <c r="J57" s="58"/>
      <c r="K57" s="59"/>
      <c r="L57" s="60"/>
      <c r="M57" s="58"/>
      <c r="N57" s="59"/>
      <c r="O57" s="60"/>
    </row>
    <row r="58" ht="15.75" customHeight="1">
      <c r="A58" s="58"/>
      <c r="B58" s="59"/>
      <c r="C58" s="60"/>
      <c r="D58" s="58"/>
      <c r="E58" s="59"/>
      <c r="F58" s="60"/>
      <c r="G58" s="58"/>
      <c r="H58" s="59"/>
      <c r="I58" s="60"/>
      <c r="J58" s="58"/>
      <c r="K58" s="59"/>
      <c r="L58" s="60"/>
      <c r="M58" s="58"/>
      <c r="N58" s="59"/>
      <c r="O58" s="60"/>
    </row>
    <row r="59" ht="15.75" customHeight="1">
      <c r="A59" s="58"/>
      <c r="B59" s="59"/>
      <c r="C59" s="60"/>
      <c r="D59" s="58"/>
      <c r="E59" s="59"/>
      <c r="F59" s="60"/>
      <c r="G59" s="58"/>
      <c r="H59" s="59"/>
      <c r="I59" s="60"/>
      <c r="J59" s="58"/>
      <c r="K59" s="59"/>
      <c r="L59" s="60"/>
      <c r="M59" s="58"/>
      <c r="N59" s="59"/>
      <c r="O59" s="60"/>
    </row>
    <row r="60" ht="15.75" customHeight="1">
      <c r="A60" s="58"/>
      <c r="B60" s="59"/>
      <c r="C60" s="60"/>
      <c r="D60" s="58"/>
      <c r="E60" s="59"/>
      <c r="F60" s="60"/>
      <c r="G60" s="58"/>
      <c r="H60" s="59"/>
      <c r="I60" s="60"/>
      <c r="J60" s="58"/>
      <c r="K60" s="59"/>
      <c r="L60" s="60"/>
      <c r="M60" s="58"/>
      <c r="N60" s="59"/>
      <c r="O60" s="60"/>
    </row>
    <row r="61" ht="15.75" customHeight="1">
      <c r="A61" s="58"/>
      <c r="B61" s="59"/>
      <c r="C61" s="60"/>
      <c r="D61" s="58"/>
      <c r="E61" s="59"/>
      <c r="F61" s="60"/>
      <c r="G61" s="58"/>
      <c r="H61" s="59"/>
      <c r="I61" s="60"/>
      <c r="J61" s="58"/>
      <c r="K61" s="59"/>
      <c r="L61" s="60"/>
      <c r="M61" s="58"/>
      <c r="N61" s="59"/>
      <c r="O61" s="60"/>
    </row>
    <row r="62" ht="15.75" customHeight="1">
      <c r="A62" s="58"/>
      <c r="B62" s="59"/>
      <c r="C62" s="60"/>
      <c r="D62" s="58"/>
      <c r="E62" s="59"/>
      <c r="F62" s="60"/>
      <c r="G62" s="58"/>
      <c r="H62" s="59"/>
      <c r="I62" s="60"/>
      <c r="J62" s="58"/>
      <c r="K62" s="59"/>
      <c r="L62" s="60"/>
      <c r="M62" s="58"/>
      <c r="N62" s="59"/>
      <c r="O62" s="60"/>
    </row>
    <row r="63" ht="15.75" customHeight="1">
      <c r="A63" s="58"/>
      <c r="B63" s="59"/>
      <c r="C63" s="60"/>
      <c r="D63" s="58"/>
      <c r="E63" s="59"/>
      <c r="F63" s="60"/>
      <c r="G63" s="58"/>
      <c r="H63" s="59"/>
      <c r="I63" s="60"/>
      <c r="J63" s="58"/>
      <c r="K63" s="59"/>
      <c r="L63" s="60"/>
      <c r="M63" s="58"/>
      <c r="N63" s="59"/>
      <c r="O63" s="60"/>
    </row>
    <row r="64" ht="15.75" customHeight="1">
      <c r="A64" s="58"/>
      <c r="B64" s="59"/>
      <c r="C64" s="60"/>
      <c r="D64" s="58"/>
      <c r="E64" s="59"/>
      <c r="F64" s="60"/>
      <c r="G64" s="58"/>
      <c r="H64" s="59"/>
      <c r="I64" s="60"/>
      <c r="J64" s="58"/>
      <c r="K64" s="59"/>
      <c r="L64" s="60"/>
      <c r="M64" s="58"/>
      <c r="N64" s="59"/>
      <c r="O64" s="60"/>
    </row>
    <row r="65" ht="15.75" customHeight="1">
      <c r="A65" s="58"/>
      <c r="B65" s="59"/>
      <c r="C65" s="60"/>
      <c r="D65" s="58"/>
      <c r="E65" s="59"/>
      <c r="F65" s="60"/>
      <c r="G65" s="58"/>
      <c r="H65" s="59"/>
      <c r="I65" s="60"/>
      <c r="J65" s="58"/>
      <c r="K65" s="59"/>
      <c r="L65" s="60"/>
      <c r="M65" s="58"/>
      <c r="N65" s="59"/>
      <c r="O65" s="60"/>
    </row>
    <row r="66" ht="15.75" customHeight="1">
      <c r="A66" s="58"/>
      <c r="B66" s="59"/>
      <c r="C66" s="60"/>
      <c r="D66" s="58"/>
      <c r="E66" s="59"/>
      <c r="F66" s="60"/>
      <c r="G66" s="58"/>
      <c r="H66" s="59"/>
      <c r="I66" s="60"/>
      <c r="J66" s="58"/>
      <c r="K66" s="59"/>
      <c r="L66" s="60"/>
      <c r="M66" s="58"/>
      <c r="N66" s="59"/>
      <c r="O66" s="60"/>
    </row>
    <row r="67" ht="15.75" customHeight="1">
      <c r="A67" s="58"/>
      <c r="B67" s="59"/>
      <c r="C67" s="60"/>
      <c r="D67" s="58"/>
      <c r="E67" s="59"/>
      <c r="F67" s="60"/>
      <c r="G67" s="58"/>
      <c r="H67" s="59"/>
      <c r="I67" s="60"/>
      <c r="J67" s="58"/>
      <c r="K67" s="59"/>
      <c r="L67" s="60"/>
      <c r="M67" s="58"/>
      <c r="N67" s="59"/>
      <c r="O67" s="60"/>
    </row>
    <row r="68" ht="15.75" customHeight="1">
      <c r="A68" s="58"/>
      <c r="B68" s="59"/>
      <c r="C68" s="60"/>
      <c r="D68" s="58"/>
      <c r="E68" s="59"/>
      <c r="F68" s="60"/>
      <c r="G68" s="58"/>
      <c r="H68" s="59"/>
      <c r="I68" s="60"/>
      <c r="J68" s="58"/>
      <c r="K68" s="59"/>
      <c r="L68" s="60"/>
      <c r="M68" s="58"/>
      <c r="N68" s="59"/>
      <c r="O68" s="60"/>
    </row>
    <row r="69" ht="15.75" customHeight="1">
      <c r="A69" s="58"/>
      <c r="B69" s="59"/>
      <c r="C69" s="60"/>
      <c r="D69" s="58"/>
      <c r="E69" s="59"/>
      <c r="F69" s="60"/>
      <c r="G69" s="58"/>
      <c r="H69" s="59"/>
      <c r="I69" s="60"/>
      <c r="J69" s="58"/>
      <c r="K69" s="59"/>
      <c r="L69" s="60"/>
      <c r="M69" s="58"/>
      <c r="N69" s="59"/>
      <c r="O69" s="60"/>
    </row>
    <row r="70" ht="15.75" customHeight="1">
      <c r="A70" s="58"/>
      <c r="B70" s="59"/>
      <c r="C70" s="60"/>
      <c r="D70" s="58"/>
      <c r="E70" s="59"/>
      <c r="F70" s="60"/>
      <c r="G70" s="58"/>
      <c r="H70" s="59"/>
      <c r="I70" s="60"/>
      <c r="J70" s="58"/>
      <c r="K70" s="59"/>
      <c r="L70" s="60"/>
      <c r="M70" s="58"/>
      <c r="N70" s="59"/>
      <c r="O70" s="60"/>
    </row>
    <row r="71" ht="15.75" customHeight="1">
      <c r="A71" s="58"/>
      <c r="B71" s="59"/>
      <c r="C71" s="60"/>
      <c r="D71" s="58"/>
      <c r="E71" s="59"/>
      <c r="F71" s="60"/>
      <c r="G71" s="58"/>
      <c r="H71" s="59"/>
      <c r="I71" s="60"/>
      <c r="J71" s="58"/>
      <c r="K71" s="59"/>
      <c r="L71" s="60"/>
      <c r="M71" s="58"/>
      <c r="N71" s="59"/>
      <c r="O71" s="60"/>
    </row>
    <row r="72" ht="15.75" customHeight="1">
      <c r="A72" s="58"/>
      <c r="B72" s="59"/>
      <c r="C72" s="60"/>
      <c r="D72" s="58"/>
      <c r="E72" s="59"/>
      <c r="F72" s="60"/>
      <c r="G72" s="58"/>
      <c r="H72" s="59"/>
      <c r="I72" s="60"/>
      <c r="J72" s="58"/>
      <c r="K72" s="59"/>
      <c r="L72" s="60"/>
      <c r="M72" s="58"/>
      <c r="N72" s="59"/>
      <c r="O72" s="60"/>
    </row>
    <row r="73" ht="15.75" customHeight="1">
      <c r="A73" s="58"/>
      <c r="B73" s="59"/>
      <c r="C73" s="60"/>
      <c r="D73" s="58"/>
      <c r="E73" s="59"/>
      <c r="F73" s="60"/>
      <c r="G73" s="58"/>
      <c r="H73" s="59"/>
      <c r="I73" s="60"/>
      <c r="J73" s="58"/>
      <c r="K73" s="59"/>
      <c r="L73" s="60"/>
      <c r="M73" s="58"/>
      <c r="N73" s="59"/>
      <c r="O73" s="60"/>
    </row>
    <row r="74" ht="15.75" customHeight="1">
      <c r="A74" s="58"/>
      <c r="B74" s="59"/>
      <c r="C74" s="60"/>
      <c r="D74" s="58"/>
      <c r="E74" s="59"/>
      <c r="F74" s="60"/>
      <c r="G74" s="58"/>
      <c r="H74" s="59"/>
      <c r="I74" s="60"/>
      <c r="J74" s="58"/>
      <c r="K74" s="59"/>
      <c r="L74" s="60"/>
      <c r="M74" s="58"/>
      <c r="N74" s="59"/>
      <c r="O74" s="60"/>
    </row>
    <row r="75" ht="15.75" customHeight="1">
      <c r="A75" s="58"/>
      <c r="B75" s="59"/>
      <c r="C75" s="60"/>
      <c r="D75" s="58"/>
      <c r="E75" s="59"/>
      <c r="F75" s="60"/>
      <c r="G75" s="58"/>
      <c r="H75" s="59"/>
      <c r="I75" s="60"/>
      <c r="J75" s="58"/>
      <c r="K75" s="59"/>
      <c r="L75" s="60"/>
      <c r="M75" s="58"/>
      <c r="N75" s="59"/>
      <c r="O75" s="60"/>
    </row>
    <row r="76" ht="15.75" customHeight="1">
      <c r="A76" s="58"/>
      <c r="B76" s="59"/>
      <c r="C76" s="60"/>
      <c r="D76" s="58"/>
      <c r="E76" s="59"/>
      <c r="F76" s="60"/>
      <c r="G76" s="58"/>
      <c r="H76" s="59"/>
      <c r="I76" s="60"/>
      <c r="J76" s="58"/>
      <c r="K76" s="59"/>
      <c r="L76" s="60"/>
      <c r="M76" s="58"/>
      <c r="N76" s="59"/>
      <c r="O76" s="60"/>
    </row>
    <row r="77" ht="15.75" customHeight="1">
      <c r="A77" s="58"/>
      <c r="B77" s="59"/>
      <c r="C77" s="60"/>
      <c r="D77" s="58"/>
      <c r="E77" s="59"/>
      <c r="F77" s="60"/>
      <c r="G77" s="58"/>
      <c r="H77" s="59"/>
      <c r="I77" s="60"/>
      <c r="J77" s="58"/>
      <c r="K77" s="59"/>
      <c r="L77" s="60"/>
      <c r="M77" s="58"/>
      <c r="N77" s="59"/>
      <c r="O77" s="60"/>
    </row>
    <row r="78" ht="15.75" customHeight="1">
      <c r="A78" s="58"/>
      <c r="B78" s="59"/>
      <c r="C78" s="60"/>
      <c r="D78" s="58"/>
      <c r="E78" s="59"/>
      <c r="F78" s="60"/>
      <c r="G78" s="58"/>
      <c r="H78" s="59"/>
      <c r="I78" s="60"/>
      <c r="J78" s="58"/>
      <c r="K78" s="59"/>
      <c r="L78" s="60"/>
      <c r="M78" s="58"/>
      <c r="N78" s="59"/>
      <c r="O78" s="60"/>
    </row>
    <row r="79" ht="15.75" customHeight="1">
      <c r="A79" s="58"/>
      <c r="B79" s="59"/>
      <c r="C79" s="60"/>
      <c r="D79" s="58"/>
      <c r="E79" s="59"/>
      <c r="F79" s="60"/>
      <c r="G79" s="58"/>
      <c r="H79" s="59"/>
      <c r="I79" s="60"/>
      <c r="J79" s="58"/>
      <c r="K79" s="59"/>
      <c r="L79" s="60"/>
      <c r="M79" s="58"/>
      <c r="N79" s="59"/>
      <c r="O79" s="60"/>
    </row>
    <row r="80" ht="15.75" customHeight="1">
      <c r="A80" s="58"/>
      <c r="B80" s="59"/>
      <c r="C80" s="60"/>
      <c r="D80" s="58"/>
      <c r="E80" s="59"/>
      <c r="F80" s="60"/>
      <c r="G80" s="58"/>
      <c r="H80" s="59"/>
      <c r="I80" s="60"/>
      <c r="J80" s="58"/>
      <c r="K80" s="59"/>
      <c r="L80" s="60"/>
      <c r="M80" s="58"/>
      <c r="N80" s="59"/>
      <c r="O80" s="60"/>
    </row>
    <row r="81" ht="15.75" customHeight="1">
      <c r="A81" s="58"/>
      <c r="B81" s="59"/>
      <c r="C81" s="60"/>
      <c r="D81" s="58"/>
      <c r="E81" s="59"/>
      <c r="F81" s="60"/>
      <c r="G81" s="58"/>
      <c r="H81" s="59"/>
      <c r="I81" s="60"/>
      <c r="J81" s="58"/>
      <c r="K81" s="59"/>
      <c r="L81" s="60"/>
      <c r="M81" s="58"/>
      <c r="N81" s="59"/>
      <c r="O81" s="60"/>
    </row>
    <row r="82" ht="15.75" customHeight="1">
      <c r="A82" s="58"/>
      <c r="B82" s="59"/>
      <c r="C82" s="60"/>
      <c r="D82" s="58"/>
      <c r="E82" s="59"/>
      <c r="F82" s="60"/>
      <c r="G82" s="58"/>
      <c r="H82" s="59"/>
      <c r="I82" s="60"/>
      <c r="J82" s="58"/>
      <c r="K82" s="59"/>
      <c r="L82" s="60"/>
      <c r="M82" s="58"/>
      <c r="N82" s="59"/>
      <c r="O82" s="60"/>
    </row>
    <row r="83" ht="15.75" customHeight="1">
      <c r="A83" s="58"/>
      <c r="B83" s="59"/>
      <c r="C83" s="60"/>
      <c r="D83" s="58"/>
      <c r="E83" s="59"/>
      <c r="F83" s="60"/>
      <c r="G83" s="58"/>
      <c r="H83" s="59"/>
      <c r="I83" s="60"/>
      <c r="J83" s="58"/>
      <c r="K83" s="59"/>
      <c r="L83" s="60"/>
      <c r="M83" s="58"/>
      <c r="N83" s="59"/>
      <c r="O83" s="60"/>
    </row>
    <row r="84" ht="15.75" customHeight="1">
      <c r="A84" s="58"/>
      <c r="B84" s="59"/>
      <c r="C84" s="60"/>
      <c r="D84" s="58"/>
      <c r="E84" s="59"/>
      <c r="F84" s="60"/>
      <c r="G84" s="58"/>
      <c r="H84" s="59"/>
      <c r="I84" s="60"/>
      <c r="J84" s="58"/>
      <c r="K84" s="59"/>
      <c r="L84" s="60"/>
      <c r="M84" s="58"/>
      <c r="N84" s="59"/>
      <c r="O84" s="60"/>
    </row>
    <row r="85" ht="15.75" customHeight="1">
      <c r="A85" s="58"/>
      <c r="B85" s="59"/>
      <c r="C85" s="60"/>
      <c r="D85" s="58"/>
      <c r="E85" s="59"/>
      <c r="F85" s="60"/>
      <c r="G85" s="58"/>
      <c r="H85" s="59"/>
      <c r="I85" s="60"/>
      <c r="J85" s="58"/>
      <c r="K85" s="59"/>
      <c r="L85" s="60"/>
      <c r="M85" s="58"/>
      <c r="N85" s="59"/>
      <c r="O85" s="60"/>
    </row>
    <row r="86" ht="15.75" customHeight="1">
      <c r="A86" s="58"/>
      <c r="B86" s="59"/>
      <c r="C86" s="60"/>
      <c r="D86" s="58"/>
      <c r="E86" s="59"/>
      <c r="F86" s="60"/>
      <c r="G86" s="58"/>
      <c r="H86" s="59"/>
      <c r="I86" s="60"/>
      <c r="J86" s="58"/>
      <c r="K86" s="59"/>
      <c r="L86" s="60"/>
      <c r="M86" s="58"/>
      <c r="N86" s="59"/>
      <c r="O86" s="60"/>
    </row>
    <row r="87" ht="15.75" customHeight="1">
      <c r="A87" s="58"/>
      <c r="B87" s="59"/>
      <c r="C87" s="60"/>
      <c r="D87" s="58"/>
      <c r="E87" s="59"/>
      <c r="F87" s="60"/>
      <c r="G87" s="58"/>
      <c r="H87" s="59"/>
      <c r="I87" s="60"/>
      <c r="J87" s="58"/>
      <c r="K87" s="59"/>
      <c r="L87" s="60"/>
      <c r="M87" s="58"/>
      <c r="N87" s="59"/>
      <c r="O87" s="60"/>
    </row>
    <row r="88" ht="15.75" customHeight="1">
      <c r="A88" s="58"/>
      <c r="B88" s="59"/>
      <c r="C88" s="60"/>
      <c r="D88" s="58"/>
      <c r="E88" s="59"/>
      <c r="F88" s="60"/>
      <c r="G88" s="58"/>
      <c r="H88" s="59"/>
      <c r="I88" s="60"/>
      <c r="J88" s="58"/>
      <c r="K88" s="59"/>
      <c r="L88" s="60"/>
      <c r="M88" s="58"/>
      <c r="N88" s="59"/>
      <c r="O88" s="60"/>
    </row>
    <row r="89" ht="15.75" customHeight="1">
      <c r="A89" s="58"/>
      <c r="B89" s="59"/>
      <c r="C89" s="60"/>
      <c r="D89" s="58"/>
      <c r="E89" s="59"/>
      <c r="F89" s="60"/>
      <c r="G89" s="58"/>
      <c r="H89" s="59"/>
      <c r="I89" s="60"/>
      <c r="J89" s="58"/>
      <c r="K89" s="59"/>
      <c r="L89" s="60"/>
      <c r="M89" s="58"/>
      <c r="N89" s="59"/>
      <c r="O89" s="60"/>
    </row>
    <row r="90" ht="15.75" customHeight="1">
      <c r="A90" s="58"/>
      <c r="B90" s="59"/>
      <c r="C90" s="60"/>
      <c r="D90" s="58"/>
      <c r="E90" s="59"/>
      <c r="F90" s="60"/>
      <c r="G90" s="58"/>
      <c r="H90" s="59"/>
      <c r="I90" s="60"/>
      <c r="J90" s="58"/>
      <c r="K90" s="59"/>
      <c r="L90" s="60"/>
      <c r="M90" s="58"/>
      <c r="N90" s="59"/>
      <c r="O90" s="60"/>
    </row>
    <row r="91" ht="15.75" customHeight="1">
      <c r="A91" s="58"/>
      <c r="B91" s="59"/>
      <c r="C91" s="60"/>
      <c r="D91" s="58"/>
      <c r="E91" s="59"/>
      <c r="F91" s="60"/>
      <c r="G91" s="58"/>
      <c r="H91" s="59"/>
      <c r="I91" s="60"/>
      <c r="J91" s="58"/>
      <c r="K91" s="59"/>
      <c r="L91" s="60"/>
      <c r="M91" s="58"/>
      <c r="N91" s="59"/>
      <c r="O91" s="60"/>
    </row>
    <row r="92" ht="15.75" customHeight="1">
      <c r="A92" s="58"/>
      <c r="B92" s="59"/>
      <c r="C92" s="60"/>
      <c r="D92" s="58"/>
      <c r="E92" s="59"/>
      <c r="F92" s="60"/>
      <c r="G92" s="58"/>
      <c r="H92" s="59"/>
      <c r="I92" s="60"/>
      <c r="J92" s="58"/>
      <c r="K92" s="59"/>
      <c r="L92" s="60"/>
      <c r="M92" s="58"/>
      <c r="N92" s="59"/>
      <c r="O92" s="60"/>
    </row>
    <row r="93" ht="15.75" customHeight="1">
      <c r="A93" s="58"/>
      <c r="B93" s="59"/>
      <c r="C93" s="60"/>
      <c r="D93" s="58"/>
      <c r="E93" s="59"/>
      <c r="F93" s="60"/>
      <c r="G93" s="58"/>
      <c r="H93" s="59"/>
      <c r="I93" s="60"/>
      <c r="J93" s="58"/>
      <c r="K93" s="59"/>
      <c r="L93" s="60"/>
      <c r="M93" s="58"/>
      <c r="N93" s="59"/>
      <c r="O93" s="60"/>
    </row>
    <row r="94" ht="15.75" customHeight="1">
      <c r="A94" s="58"/>
      <c r="B94" s="59"/>
      <c r="C94" s="60"/>
      <c r="D94" s="58"/>
      <c r="E94" s="59"/>
      <c r="F94" s="60"/>
      <c r="G94" s="58"/>
      <c r="H94" s="59"/>
      <c r="I94" s="60"/>
      <c r="J94" s="58"/>
      <c r="K94" s="59"/>
      <c r="L94" s="60"/>
      <c r="M94" s="58"/>
      <c r="N94" s="59"/>
      <c r="O94" s="60"/>
    </row>
    <row r="95" ht="15.75" customHeight="1">
      <c r="A95" s="58"/>
      <c r="B95" s="59"/>
      <c r="C95" s="60"/>
      <c r="D95" s="58"/>
      <c r="E95" s="59"/>
      <c r="F95" s="60"/>
      <c r="G95" s="58"/>
      <c r="H95" s="59"/>
      <c r="I95" s="60"/>
      <c r="J95" s="58"/>
      <c r="K95" s="59"/>
      <c r="L95" s="60"/>
      <c r="M95" s="58"/>
      <c r="N95" s="59"/>
      <c r="O95" s="60"/>
    </row>
    <row r="96" ht="15.75" customHeight="1">
      <c r="A96" s="58"/>
      <c r="B96" s="59"/>
      <c r="C96" s="60"/>
      <c r="D96" s="58"/>
      <c r="E96" s="59"/>
      <c r="F96" s="60"/>
      <c r="G96" s="58"/>
      <c r="H96" s="59"/>
      <c r="I96" s="60"/>
      <c r="J96" s="58"/>
      <c r="K96" s="59"/>
      <c r="L96" s="60"/>
      <c r="M96" s="58"/>
      <c r="N96" s="59"/>
      <c r="O96" s="60"/>
    </row>
    <row r="97" ht="15.75" customHeight="1">
      <c r="A97" s="58"/>
      <c r="B97" s="59"/>
      <c r="C97" s="60"/>
      <c r="D97" s="58"/>
      <c r="E97" s="59"/>
      <c r="F97" s="60"/>
      <c r="G97" s="58"/>
      <c r="H97" s="59"/>
      <c r="I97" s="60"/>
      <c r="J97" s="58"/>
      <c r="K97" s="59"/>
      <c r="L97" s="60"/>
      <c r="M97" s="58"/>
      <c r="N97" s="59"/>
      <c r="O97" s="60"/>
    </row>
    <row r="98" ht="15.75" customHeight="1">
      <c r="A98" s="58"/>
      <c r="B98" s="59"/>
      <c r="C98" s="60"/>
      <c r="D98" s="58"/>
      <c r="E98" s="59"/>
      <c r="F98" s="60"/>
      <c r="G98" s="58"/>
      <c r="H98" s="59"/>
      <c r="I98" s="60"/>
      <c r="J98" s="58"/>
      <c r="K98" s="59"/>
      <c r="L98" s="60"/>
      <c r="M98" s="58"/>
      <c r="N98" s="59"/>
      <c r="O98" s="60"/>
    </row>
    <row r="99" ht="15.75" customHeight="1">
      <c r="A99" s="58"/>
      <c r="B99" s="59"/>
      <c r="C99" s="60"/>
      <c r="D99" s="58"/>
      <c r="E99" s="59"/>
      <c r="F99" s="60"/>
      <c r="G99" s="58"/>
      <c r="H99" s="59"/>
      <c r="I99" s="60"/>
      <c r="J99" s="58"/>
      <c r="K99" s="59"/>
      <c r="L99" s="60"/>
      <c r="M99" s="58"/>
      <c r="N99" s="59"/>
      <c r="O99" s="60"/>
    </row>
    <row r="100" ht="15.75" customHeight="1">
      <c r="A100" s="58"/>
      <c r="B100" s="59"/>
      <c r="C100" s="60"/>
      <c r="D100" s="58"/>
      <c r="E100" s="59"/>
      <c r="F100" s="60"/>
      <c r="G100" s="58"/>
      <c r="H100" s="59"/>
      <c r="I100" s="60"/>
      <c r="J100" s="58"/>
      <c r="K100" s="59"/>
      <c r="L100" s="60"/>
      <c r="M100" s="58"/>
      <c r="N100" s="59"/>
      <c r="O100" s="60"/>
    </row>
    <row r="101" ht="15.75" customHeight="1">
      <c r="A101" s="58"/>
      <c r="B101" s="59"/>
      <c r="C101" s="60"/>
      <c r="D101" s="58"/>
      <c r="E101" s="59"/>
      <c r="F101" s="60"/>
      <c r="G101" s="58"/>
      <c r="H101" s="59"/>
      <c r="I101" s="60"/>
      <c r="J101" s="58"/>
      <c r="K101" s="59"/>
      <c r="L101" s="60"/>
      <c r="M101" s="58"/>
      <c r="N101" s="59"/>
      <c r="O101" s="60"/>
    </row>
    <row r="102" ht="15.75" customHeight="1">
      <c r="A102" s="58"/>
      <c r="B102" s="59"/>
      <c r="C102" s="60"/>
      <c r="D102" s="58"/>
      <c r="E102" s="59"/>
      <c r="F102" s="60"/>
      <c r="G102" s="58"/>
      <c r="H102" s="59"/>
      <c r="I102" s="60"/>
      <c r="J102" s="58"/>
      <c r="K102" s="59"/>
      <c r="L102" s="60"/>
      <c r="M102" s="58"/>
      <c r="N102" s="59"/>
      <c r="O102" s="60"/>
    </row>
    <row r="103" ht="15.75" customHeight="1">
      <c r="A103" s="58"/>
      <c r="B103" s="59"/>
      <c r="C103" s="60"/>
      <c r="D103" s="58"/>
      <c r="E103" s="59"/>
      <c r="F103" s="60"/>
      <c r="G103" s="58"/>
      <c r="H103" s="59"/>
      <c r="I103" s="60"/>
      <c r="J103" s="58"/>
      <c r="K103" s="59"/>
      <c r="L103" s="60"/>
      <c r="M103" s="58"/>
      <c r="N103" s="59"/>
      <c r="O103" s="60"/>
    </row>
    <row r="104" ht="15.75" customHeight="1">
      <c r="A104" s="58"/>
      <c r="B104" s="59"/>
      <c r="C104" s="60"/>
      <c r="D104" s="58"/>
      <c r="E104" s="59"/>
      <c r="F104" s="60"/>
      <c r="G104" s="58"/>
      <c r="H104" s="59"/>
      <c r="I104" s="60"/>
      <c r="J104" s="58"/>
      <c r="K104" s="59"/>
      <c r="L104" s="60"/>
      <c r="M104" s="58"/>
      <c r="N104" s="59"/>
      <c r="O104" s="60"/>
    </row>
    <row r="105" ht="15.75" customHeight="1">
      <c r="A105" s="58"/>
      <c r="B105" s="59"/>
      <c r="C105" s="60"/>
      <c r="D105" s="58"/>
      <c r="E105" s="59"/>
      <c r="F105" s="60"/>
      <c r="G105" s="58"/>
      <c r="H105" s="59"/>
      <c r="I105" s="60"/>
      <c r="J105" s="58"/>
      <c r="K105" s="59"/>
      <c r="L105" s="60"/>
      <c r="M105" s="58"/>
      <c r="N105" s="59"/>
      <c r="O105" s="60"/>
    </row>
    <row r="106" ht="15.75" customHeight="1">
      <c r="A106" s="58"/>
      <c r="B106" s="59"/>
      <c r="C106" s="60"/>
      <c r="D106" s="58"/>
      <c r="E106" s="59"/>
      <c r="F106" s="60"/>
      <c r="G106" s="58"/>
      <c r="H106" s="59"/>
      <c r="I106" s="60"/>
      <c r="J106" s="58"/>
      <c r="K106" s="59"/>
      <c r="L106" s="60"/>
      <c r="M106" s="58"/>
      <c r="N106" s="59"/>
      <c r="O106" s="60"/>
    </row>
    <row r="107" ht="15.75" customHeight="1">
      <c r="A107" s="58"/>
      <c r="B107" s="59"/>
      <c r="C107" s="60"/>
      <c r="D107" s="58"/>
      <c r="E107" s="59"/>
      <c r="F107" s="60"/>
      <c r="G107" s="58"/>
      <c r="H107" s="59"/>
      <c r="I107" s="60"/>
      <c r="J107" s="58"/>
      <c r="K107" s="59"/>
      <c r="L107" s="60"/>
      <c r="M107" s="58"/>
      <c r="N107" s="59"/>
      <c r="O107" s="60"/>
    </row>
    <row r="108" ht="15.75" customHeight="1">
      <c r="A108" s="58"/>
      <c r="B108" s="59"/>
      <c r="C108" s="60"/>
      <c r="D108" s="58"/>
      <c r="E108" s="59"/>
      <c r="F108" s="60"/>
      <c r="G108" s="58"/>
      <c r="H108" s="59"/>
      <c r="I108" s="60"/>
      <c r="J108" s="58"/>
      <c r="K108" s="59"/>
      <c r="L108" s="60"/>
      <c r="M108" s="58"/>
      <c r="N108" s="59"/>
      <c r="O108" s="60"/>
    </row>
    <row r="109" ht="15.75" customHeight="1">
      <c r="A109" s="58"/>
      <c r="B109" s="59"/>
      <c r="C109" s="60"/>
      <c r="D109" s="58"/>
      <c r="E109" s="59"/>
      <c r="F109" s="60"/>
      <c r="G109" s="58"/>
      <c r="H109" s="59"/>
      <c r="I109" s="60"/>
      <c r="J109" s="58"/>
      <c r="K109" s="59"/>
      <c r="L109" s="60"/>
      <c r="M109" s="58"/>
      <c r="N109" s="59"/>
      <c r="O109" s="60"/>
    </row>
    <row r="110" ht="15.75" customHeight="1">
      <c r="A110" s="58"/>
      <c r="B110" s="59"/>
      <c r="C110" s="60"/>
      <c r="D110" s="58"/>
      <c r="E110" s="59"/>
      <c r="F110" s="60"/>
      <c r="G110" s="58"/>
      <c r="H110" s="59"/>
      <c r="I110" s="60"/>
      <c r="J110" s="58"/>
      <c r="K110" s="59"/>
      <c r="L110" s="60"/>
      <c r="M110" s="58"/>
      <c r="N110" s="59"/>
      <c r="O110" s="60"/>
    </row>
    <row r="111" ht="15.75" customHeight="1">
      <c r="A111" s="58"/>
      <c r="B111" s="59"/>
      <c r="C111" s="60"/>
      <c r="D111" s="58"/>
      <c r="E111" s="59"/>
      <c r="F111" s="60"/>
      <c r="G111" s="58"/>
      <c r="H111" s="59"/>
      <c r="I111" s="60"/>
      <c r="J111" s="58"/>
      <c r="K111" s="59"/>
      <c r="L111" s="60"/>
      <c r="M111" s="58"/>
      <c r="N111" s="59"/>
      <c r="O111" s="60"/>
    </row>
    <row r="112" ht="15.75" customHeight="1">
      <c r="A112" s="58"/>
      <c r="B112" s="59"/>
      <c r="C112" s="60"/>
      <c r="D112" s="58"/>
      <c r="E112" s="59"/>
      <c r="F112" s="60"/>
      <c r="G112" s="58"/>
      <c r="H112" s="59"/>
      <c r="I112" s="60"/>
      <c r="J112" s="58"/>
      <c r="K112" s="59"/>
      <c r="L112" s="60"/>
      <c r="M112" s="58"/>
      <c r="N112" s="59"/>
      <c r="O112" s="60"/>
    </row>
    <row r="113" ht="15.75" customHeight="1">
      <c r="A113" s="58"/>
      <c r="B113" s="59"/>
      <c r="C113" s="60"/>
      <c r="D113" s="58"/>
      <c r="E113" s="59"/>
      <c r="F113" s="60"/>
      <c r="G113" s="58"/>
      <c r="H113" s="59"/>
      <c r="I113" s="60"/>
      <c r="J113" s="58"/>
      <c r="K113" s="59"/>
      <c r="L113" s="60"/>
      <c r="M113" s="58"/>
      <c r="N113" s="59"/>
      <c r="O113" s="60"/>
    </row>
    <row r="114" ht="15.75" customHeight="1">
      <c r="A114" s="58"/>
      <c r="B114" s="59"/>
      <c r="C114" s="60"/>
      <c r="D114" s="58"/>
      <c r="E114" s="59"/>
      <c r="F114" s="60"/>
      <c r="G114" s="58"/>
      <c r="H114" s="59"/>
      <c r="I114" s="60"/>
      <c r="J114" s="58"/>
      <c r="K114" s="59"/>
      <c r="L114" s="60"/>
      <c r="M114" s="58"/>
      <c r="N114" s="59"/>
      <c r="O114" s="60"/>
    </row>
    <row r="115" ht="15.75" customHeight="1">
      <c r="A115" s="58"/>
      <c r="B115" s="59"/>
      <c r="C115" s="60"/>
      <c r="D115" s="58"/>
      <c r="E115" s="59"/>
      <c r="F115" s="60"/>
      <c r="G115" s="58"/>
      <c r="H115" s="59"/>
      <c r="I115" s="60"/>
      <c r="J115" s="58"/>
      <c r="K115" s="59"/>
      <c r="L115" s="60"/>
      <c r="M115" s="58"/>
      <c r="N115" s="59"/>
      <c r="O115" s="60"/>
    </row>
    <row r="116" ht="15.75" customHeight="1">
      <c r="A116" s="58"/>
      <c r="B116" s="59"/>
      <c r="C116" s="60"/>
      <c r="D116" s="58"/>
      <c r="E116" s="59"/>
      <c r="F116" s="60"/>
      <c r="G116" s="58"/>
      <c r="H116" s="59"/>
      <c r="I116" s="60"/>
      <c r="J116" s="58"/>
      <c r="K116" s="59"/>
      <c r="L116" s="60"/>
      <c r="M116" s="58"/>
      <c r="N116" s="59"/>
      <c r="O116" s="60"/>
    </row>
    <row r="117" ht="15.75" customHeight="1">
      <c r="A117" s="58"/>
      <c r="B117" s="59"/>
      <c r="C117" s="60"/>
      <c r="D117" s="58"/>
      <c r="E117" s="59"/>
      <c r="F117" s="60"/>
      <c r="G117" s="58"/>
      <c r="H117" s="59"/>
      <c r="I117" s="60"/>
      <c r="J117" s="58"/>
      <c r="K117" s="59"/>
      <c r="L117" s="60"/>
      <c r="M117" s="58"/>
      <c r="N117" s="59"/>
      <c r="O117" s="60"/>
    </row>
    <row r="118" ht="15.75" customHeight="1">
      <c r="A118" s="58"/>
      <c r="B118" s="59"/>
      <c r="C118" s="60"/>
      <c r="D118" s="58"/>
      <c r="E118" s="59"/>
      <c r="F118" s="60"/>
      <c r="G118" s="58"/>
      <c r="H118" s="59"/>
      <c r="I118" s="60"/>
      <c r="J118" s="58"/>
      <c r="K118" s="59"/>
      <c r="L118" s="60"/>
      <c r="M118" s="58"/>
      <c r="N118" s="59"/>
      <c r="O118" s="60"/>
    </row>
    <row r="119" ht="15.75" customHeight="1">
      <c r="A119" s="58"/>
      <c r="B119" s="59"/>
      <c r="C119" s="60"/>
      <c r="D119" s="58"/>
      <c r="E119" s="59"/>
      <c r="F119" s="60"/>
      <c r="G119" s="58"/>
      <c r="H119" s="59"/>
      <c r="I119" s="60"/>
      <c r="J119" s="58"/>
      <c r="K119" s="59"/>
      <c r="L119" s="60"/>
      <c r="M119" s="58"/>
      <c r="N119" s="59"/>
      <c r="O119" s="60"/>
    </row>
    <row r="120" ht="15.75" customHeight="1">
      <c r="A120" s="58"/>
      <c r="B120" s="59"/>
      <c r="C120" s="60"/>
      <c r="D120" s="58"/>
      <c r="E120" s="59"/>
      <c r="F120" s="60"/>
      <c r="G120" s="58"/>
      <c r="H120" s="59"/>
      <c r="I120" s="60"/>
      <c r="J120" s="58"/>
      <c r="K120" s="59"/>
      <c r="L120" s="60"/>
      <c r="M120" s="58"/>
      <c r="N120" s="59"/>
      <c r="O120" s="60"/>
    </row>
    <row r="121" ht="15.75" customHeight="1">
      <c r="A121" s="58"/>
      <c r="B121" s="59"/>
      <c r="C121" s="60"/>
      <c r="D121" s="58"/>
      <c r="E121" s="59"/>
      <c r="F121" s="60"/>
      <c r="G121" s="58"/>
      <c r="H121" s="59"/>
      <c r="I121" s="60"/>
      <c r="J121" s="58"/>
      <c r="K121" s="59"/>
      <c r="L121" s="60"/>
      <c r="M121" s="58"/>
      <c r="N121" s="59"/>
      <c r="O121" s="60"/>
    </row>
    <row r="122" ht="15.75" customHeight="1">
      <c r="A122" s="58"/>
      <c r="B122" s="59"/>
      <c r="C122" s="60"/>
      <c r="D122" s="58"/>
      <c r="E122" s="59"/>
      <c r="F122" s="60"/>
      <c r="G122" s="58"/>
      <c r="H122" s="59"/>
      <c r="I122" s="60"/>
      <c r="J122" s="58"/>
      <c r="K122" s="59"/>
      <c r="L122" s="60"/>
      <c r="M122" s="58"/>
      <c r="N122" s="59"/>
      <c r="O122" s="60"/>
    </row>
    <row r="123" ht="15.75" customHeight="1">
      <c r="A123" s="58"/>
      <c r="B123" s="59"/>
      <c r="C123" s="60"/>
      <c r="D123" s="58"/>
      <c r="E123" s="59"/>
      <c r="F123" s="60"/>
      <c r="G123" s="58"/>
      <c r="H123" s="59"/>
      <c r="I123" s="60"/>
      <c r="J123" s="58"/>
      <c r="K123" s="59"/>
      <c r="L123" s="60"/>
      <c r="M123" s="58"/>
      <c r="N123" s="59"/>
      <c r="O123" s="60"/>
    </row>
    <row r="124" ht="15.75" customHeight="1">
      <c r="A124" s="58"/>
      <c r="B124" s="59"/>
      <c r="C124" s="60"/>
      <c r="D124" s="58"/>
      <c r="E124" s="59"/>
      <c r="F124" s="60"/>
      <c r="G124" s="58"/>
      <c r="H124" s="59"/>
      <c r="I124" s="60"/>
      <c r="J124" s="58"/>
      <c r="K124" s="59"/>
      <c r="L124" s="60"/>
      <c r="M124" s="58"/>
      <c r="N124" s="59"/>
      <c r="O124" s="60"/>
    </row>
    <row r="125" ht="15.75" customHeight="1">
      <c r="A125" s="58"/>
      <c r="B125" s="59"/>
      <c r="C125" s="60"/>
      <c r="D125" s="58"/>
      <c r="E125" s="59"/>
      <c r="F125" s="60"/>
      <c r="G125" s="58"/>
      <c r="H125" s="59"/>
      <c r="I125" s="60"/>
      <c r="J125" s="58"/>
      <c r="K125" s="59"/>
      <c r="L125" s="60"/>
      <c r="M125" s="58"/>
      <c r="N125" s="59"/>
      <c r="O125" s="60"/>
    </row>
    <row r="126" ht="15.75" customHeight="1">
      <c r="A126" s="58"/>
      <c r="B126" s="59"/>
      <c r="C126" s="60"/>
      <c r="D126" s="58"/>
      <c r="E126" s="59"/>
      <c r="F126" s="60"/>
      <c r="G126" s="58"/>
      <c r="H126" s="59"/>
      <c r="I126" s="60"/>
      <c r="J126" s="58"/>
      <c r="K126" s="59"/>
      <c r="L126" s="60"/>
      <c r="M126" s="58"/>
      <c r="N126" s="59"/>
      <c r="O126" s="60"/>
    </row>
    <row r="127" ht="15.75" customHeight="1">
      <c r="A127" s="58"/>
      <c r="B127" s="59"/>
      <c r="C127" s="60"/>
      <c r="D127" s="58"/>
      <c r="E127" s="59"/>
      <c r="F127" s="60"/>
      <c r="G127" s="58"/>
      <c r="H127" s="59"/>
      <c r="I127" s="60"/>
      <c r="J127" s="58"/>
      <c r="K127" s="59"/>
      <c r="L127" s="60"/>
      <c r="M127" s="58"/>
      <c r="N127" s="59"/>
      <c r="O127" s="60"/>
    </row>
    <row r="128" ht="15.75" customHeight="1">
      <c r="A128" s="58"/>
      <c r="B128" s="59"/>
      <c r="C128" s="60"/>
      <c r="D128" s="58"/>
      <c r="E128" s="59"/>
      <c r="F128" s="60"/>
      <c r="G128" s="58"/>
      <c r="H128" s="59"/>
      <c r="I128" s="60"/>
      <c r="J128" s="58"/>
      <c r="K128" s="59"/>
      <c r="L128" s="60"/>
      <c r="M128" s="58"/>
      <c r="N128" s="59"/>
      <c r="O128" s="60"/>
    </row>
    <row r="129" ht="15.75" customHeight="1">
      <c r="A129" s="58"/>
      <c r="B129" s="59"/>
      <c r="C129" s="60"/>
      <c r="D129" s="58"/>
      <c r="E129" s="59"/>
      <c r="F129" s="60"/>
      <c r="G129" s="58"/>
      <c r="H129" s="59"/>
      <c r="I129" s="60"/>
      <c r="J129" s="58"/>
      <c r="K129" s="59"/>
      <c r="L129" s="60"/>
      <c r="M129" s="58"/>
      <c r="N129" s="59"/>
      <c r="O129" s="60"/>
    </row>
    <row r="130" ht="15.75" customHeight="1">
      <c r="A130" s="58"/>
      <c r="B130" s="59"/>
      <c r="C130" s="60"/>
      <c r="D130" s="58"/>
      <c r="E130" s="59"/>
      <c r="F130" s="60"/>
      <c r="G130" s="58"/>
      <c r="H130" s="59"/>
      <c r="I130" s="60"/>
      <c r="J130" s="58"/>
      <c r="K130" s="59"/>
      <c r="L130" s="60"/>
      <c r="M130" s="58"/>
      <c r="N130" s="59"/>
      <c r="O130" s="60"/>
    </row>
    <row r="131" ht="15.75" customHeight="1">
      <c r="A131" s="58"/>
      <c r="B131" s="59"/>
      <c r="C131" s="60"/>
      <c r="D131" s="58"/>
      <c r="E131" s="59"/>
      <c r="F131" s="60"/>
      <c r="G131" s="58"/>
      <c r="H131" s="59"/>
      <c r="I131" s="60"/>
      <c r="J131" s="58"/>
      <c r="K131" s="59"/>
      <c r="L131" s="60"/>
      <c r="M131" s="58"/>
      <c r="N131" s="59"/>
      <c r="O131" s="60"/>
    </row>
    <row r="132" ht="15.75" customHeight="1">
      <c r="A132" s="58"/>
      <c r="B132" s="59"/>
      <c r="C132" s="60"/>
      <c r="D132" s="58"/>
      <c r="E132" s="59"/>
      <c r="F132" s="60"/>
      <c r="G132" s="58"/>
      <c r="H132" s="59"/>
      <c r="I132" s="60"/>
      <c r="J132" s="58"/>
      <c r="K132" s="59"/>
      <c r="L132" s="60"/>
      <c r="M132" s="58"/>
      <c r="N132" s="59"/>
      <c r="O132" s="60"/>
    </row>
    <row r="133" ht="15.75" customHeight="1">
      <c r="A133" s="58"/>
      <c r="B133" s="59"/>
      <c r="C133" s="60"/>
      <c r="D133" s="58"/>
      <c r="E133" s="59"/>
      <c r="F133" s="60"/>
      <c r="G133" s="58"/>
      <c r="H133" s="59"/>
      <c r="I133" s="60"/>
      <c r="J133" s="58"/>
      <c r="K133" s="59"/>
      <c r="L133" s="60"/>
      <c r="M133" s="58"/>
      <c r="N133" s="59"/>
      <c r="O133" s="60"/>
    </row>
    <row r="134" ht="15.75" customHeight="1">
      <c r="A134" s="58"/>
      <c r="B134" s="59"/>
      <c r="C134" s="60"/>
      <c r="D134" s="58"/>
      <c r="E134" s="59"/>
      <c r="F134" s="60"/>
      <c r="G134" s="58"/>
      <c r="H134" s="59"/>
      <c r="I134" s="60"/>
      <c r="J134" s="58"/>
      <c r="K134" s="59"/>
      <c r="L134" s="60"/>
      <c r="M134" s="58"/>
      <c r="N134" s="59"/>
      <c r="O134" s="60"/>
    </row>
    <row r="135" ht="15.75" customHeight="1">
      <c r="A135" s="58"/>
      <c r="B135" s="59"/>
      <c r="C135" s="60"/>
      <c r="D135" s="58"/>
      <c r="E135" s="59"/>
      <c r="F135" s="60"/>
      <c r="G135" s="58"/>
      <c r="H135" s="59"/>
      <c r="I135" s="60"/>
      <c r="J135" s="58"/>
      <c r="K135" s="59"/>
      <c r="L135" s="60"/>
      <c r="M135" s="58"/>
      <c r="N135" s="59"/>
      <c r="O135" s="60"/>
    </row>
    <row r="136" ht="15.75" customHeight="1">
      <c r="A136" s="58"/>
      <c r="B136" s="59"/>
      <c r="C136" s="60"/>
      <c r="D136" s="58"/>
      <c r="E136" s="59"/>
      <c r="F136" s="60"/>
      <c r="G136" s="58"/>
      <c r="H136" s="59"/>
      <c r="I136" s="60"/>
      <c r="J136" s="58"/>
      <c r="K136" s="59"/>
      <c r="L136" s="60"/>
      <c r="M136" s="58"/>
      <c r="N136" s="59"/>
      <c r="O136" s="60"/>
    </row>
    <row r="137" ht="15.75" customHeight="1">
      <c r="A137" s="58"/>
      <c r="B137" s="59"/>
      <c r="C137" s="60"/>
      <c r="D137" s="58"/>
      <c r="E137" s="59"/>
      <c r="F137" s="60"/>
      <c r="G137" s="58"/>
      <c r="H137" s="59"/>
      <c r="I137" s="60"/>
      <c r="J137" s="58"/>
      <c r="K137" s="59"/>
      <c r="L137" s="60"/>
      <c r="M137" s="58"/>
      <c r="N137" s="59"/>
      <c r="O137" s="60"/>
    </row>
    <row r="138" ht="15.75" customHeight="1">
      <c r="A138" s="58"/>
      <c r="B138" s="59"/>
      <c r="C138" s="60"/>
      <c r="D138" s="58"/>
      <c r="E138" s="59"/>
      <c r="F138" s="60"/>
      <c r="G138" s="58"/>
      <c r="H138" s="59"/>
      <c r="I138" s="60"/>
      <c r="J138" s="58"/>
      <c r="K138" s="59"/>
      <c r="L138" s="60"/>
      <c r="M138" s="58"/>
      <c r="N138" s="59"/>
      <c r="O138" s="60"/>
    </row>
    <row r="139" ht="15.75" customHeight="1">
      <c r="A139" s="58"/>
      <c r="B139" s="59"/>
      <c r="C139" s="60"/>
      <c r="D139" s="58"/>
      <c r="E139" s="59"/>
      <c r="F139" s="60"/>
      <c r="G139" s="58"/>
      <c r="H139" s="59"/>
      <c r="I139" s="60"/>
      <c r="J139" s="58"/>
      <c r="K139" s="59"/>
      <c r="L139" s="60"/>
      <c r="M139" s="58"/>
      <c r="N139" s="59"/>
      <c r="O139" s="60"/>
    </row>
    <row r="140" ht="15.75" customHeight="1">
      <c r="A140" s="58"/>
      <c r="B140" s="59"/>
      <c r="C140" s="60"/>
      <c r="D140" s="58"/>
      <c r="E140" s="59"/>
      <c r="F140" s="60"/>
      <c r="G140" s="58"/>
      <c r="H140" s="59"/>
      <c r="I140" s="60"/>
      <c r="J140" s="58"/>
      <c r="K140" s="59"/>
      <c r="L140" s="60"/>
      <c r="M140" s="58"/>
      <c r="N140" s="59"/>
      <c r="O140" s="60"/>
    </row>
    <row r="141" ht="15.75" customHeight="1">
      <c r="A141" s="58"/>
      <c r="B141" s="59"/>
      <c r="C141" s="60"/>
      <c r="D141" s="58"/>
      <c r="E141" s="59"/>
      <c r="F141" s="60"/>
      <c r="G141" s="58"/>
      <c r="H141" s="59"/>
      <c r="I141" s="60"/>
      <c r="J141" s="58"/>
      <c r="K141" s="59"/>
      <c r="L141" s="60"/>
      <c r="M141" s="58"/>
      <c r="N141" s="59"/>
      <c r="O141" s="60"/>
    </row>
    <row r="142" ht="15.75" customHeight="1">
      <c r="A142" s="58"/>
      <c r="B142" s="59"/>
      <c r="C142" s="60"/>
      <c r="D142" s="58"/>
      <c r="E142" s="59"/>
      <c r="F142" s="60"/>
      <c r="G142" s="58"/>
      <c r="H142" s="59"/>
      <c r="I142" s="60"/>
      <c r="J142" s="58"/>
      <c r="K142" s="59"/>
      <c r="L142" s="60"/>
      <c r="M142" s="58"/>
      <c r="N142" s="59"/>
      <c r="O142" s="60"/>
    </row>
    <row r="143" ht="15.75" customHeight="1">
      <c r="A143" s="58"/>
      <c r="B143" s="59"/>
      <c r="C143" s="60"/>
      <c r="D143" s="58"/>
      <c r="E143" s="59"/>
      <c r="F143" s="60"/>
      <c r="G143" s="58"/>
      <c r="H143" s="59"/>
      <c r="I143" s="60"/>
      <c r="J143" s="58"/>
      <c r="K143" s="59"/>
      <c r="L143" s="60"/>
      <c r="M143" s="58"/>
      <c r="N143" s="59"/>
      <c r="O143" s="60"/>
    </row>
    <row r="144" ht="15.75" customHeight="1">
      <c r="A144" s="58"/>
      <c r="B144" s="59"/>
      <c r="C144" s="60"/>
      <c r="D144" s="58"/>
      <c r="E144" s="59"/>
      <c r="F144" s="60"/>
      <c r="G144" s="58"/>
      <c r="H144" s="59"/>
      <c r="I144" s="60"/>
      <c r="J144" s="58"/>
      <c r="K144" s="59"/>
      <c r="L144" s="60"/>
      <c r="M144" s="58"/>
      <c r="N144" s="59"/>
      <c r="O144" s="60"/>
    </row>
    <row r="145" ht="15.75" customHeight="1">
      <c r="A145" s="58"/>
      <c r="B145" s="59"/>
      <c r="C145" s="60"/>
      <c r="D145" s="58"/>
      <c r="E145" s="59"/>
      <c r="F145" s="60"/>
      <c r="G145" s="58"/>
      <c r="H145" s="59"/>
      <c r="I145" s="60"/>
      <c r="J145" s="58"/>
      <c r="K145" s="59"/>
      <c r="L145" s="60"/>
      <c r="M145" s="58"/>
      <c r="N145" s="59"/>
      <c r="O145" s="60"/>
    </row>
    <row r="146" ht="15.75" customHeight="1">
      <c r="A146" s="58"/>
      <c r="B146" s="59"/>
      <c r="C146" s="60"/>
      <c r="D146" s="58"/>
      <c r="E146" s="59"/>
      <c r="F146" s="60"/>
      <c r="G146" s="58"/>
      <c r="H146" s="59"/>
      <c r="I146" s="60"/>
      <c r="J146" s="58"/>
      <c r="K146" s="59"/>
      <c r="L146" s="60"/>
      <c r="M146" s="58"/>
      <c r="N146" s="59"/>
      <c r="O146" s="60"/>
    </row>
    <row r="147" ht="15.75" customHeight="1">
      <c r="A147" s="58"/>
      <c r="B147" s="59"/>
      <c r="C147" s="60"/>
      <c r="D147" s="58"/>
      <c r="E147" s="59"/>
      <c r="F147" s="60"/>
      <c r="G147" s="58"/>
      <c r="H147" s="59"/>
      <c r="I147" s="60"/>
      <c r="J147" s="58"/>
      <c r="K147" s="59"/>
      <c r="L147" s="60"/>
      <c r="M147" s="58"/>
      <c r="N147" s="59"/>
      <c r="O147" s="60"/>
    </row>
    <row r="148" ht="15.75" customHeight="1">
      <c r="A148" s="58"/>
      <c r="B148" s="59"/>
      <c r="C148" s="60"/>
      <c r="D148" s="58"/>
      <c r="E148" s="59"/>
      <c r="F148" s="60"/>
      <c r="G148" s="58"/>
      <c r="H148" s="59"/>
      <c r="I148" s="60"/>
      <c r="J148" s="58"/>
      <c r="K148" s="59"/>
      <c r="L148" s="60"/>
      <c r="M148" s="58"/>
      <c r="N148" s="59"/>
      <c r="O148" s="60"/>
    </row>
    <row r="149" ht="15.75" customHeight="1">
      <c r="A149" s="58"/>
      <c r="B149" s="59"/>
      <c r="C149" s="60"/>
      <c r="D149" s="58"/>
      <c r="E149" s="59"/>
      <c r="F149" s="60"/>
      <c r="G149" s="58"/>
      <c r="H149" s="59"/>
      <c r="I149" s="60"/>
      <c r="J149" s="58"/>
      <c r="K149" s="59"/>
      <c r="L149" s="60"/>
      <c r="M149" s="58"/>
      <c r="N149" s="59"/>
      <c r="O149" s="60"/>
    </row>
    <row r="150" ht="15.75" customHeight="1">
      <c r="A150" s="58"/>
      <c r="B150" s="59"/>
      <c r="C150" s="60"/>
      <c r="D150" s="58"/>
      <c r="E150" s="59"/>
      <c r="F150" s="60"/>
      <c r="G150" s="58"/>
      <c r="H150" s="59"/>
      <c r="I150" s="60"/>
      <c r="J150" s="58"/>
      <c r="K150" s="59"/>
      <c r="L150" s="60"/>
      <c r="M150" s="58"/>
      <c r="N150" s="59"/>
      <c r="O150" s="60"/>
    </row>
    <row r="151" ht="15.75" customHeight="1">
      <c r="A151" s="58"/>
      <c r="B151" s="59"/>
      <c r="C151" s="60"/>
      <c r="D151" s="58"/>
      <c r="E151" s="59"/>
      <c r="F151" s="60"/>
      <c r="G151" s="58"/>
      <c r="H151" s="59"/>
      <c r="I151" s="60"/>
      <c r="J151" s="58"/>
      <c r="K151" s="59"/>
      <c r="L151" s="60"/>
      <c r="M151" s="58"/>
      <c r="N151" s="59"/>
      <c r="O151" s="60"/>
    </row>
    <row r="152" ht="15.75" customHeight="1">
      <c r="A152" s="58"/>
      <c r="B152" s="59"/>
      <c r="C152" s="60"/>
      <c r="D152" s="58"/>
      <c r="E152" s="59"/>
      <c r="F152" s="60"/>
      <c r="G152" s="58"/>
      <c r="H152" s="59"/>
      <c r="I152" s="60"/>
      <c r="J152" s="58"/>
      <c r="K152" s="59"/>
      <c r="L152" s="60"/>
      <c r="M152" s="58"/>
      <c r="N152" s="59"/>
      <c r="O152" s="60"/>
    </row>
    <row r="153" ht="15.75" customHeight="1">
      <c r="A153" s="58"/>
      <c r="B153" s="59"/>
      <c r="C153" s="60"/>
      <c r="D153" s="58"/>
      <c r="E153" s="59"/>
      <c r="F153" s="60"/>
      <c r="G153" s="58"/>
      <c r="H153" s="59"/>
      <c r="I153" s="60"/>
      <c r="J153" s="58"/>
      <c r="K153" s="59"/>
      <c r="L153" s="60"/>
      <c r="M153" s="58"/>
      <c r="N153" s="59"/>
      <c r="O153" s="60"/>
    </row>
    <row r="154" ht="15.75" customHeight="1">
      <c r="A154" s="58"/>
      <c r="B154" s="59"/>
      <c r="C154" s="60"/>
      <c r="D154" s="58"/>
      <c r="E154" s="59"/>
      <c r="F154" s="60"/>
      <c r="G154" s="58"/>
      <c r="H154" s="59"/>
      <c r="I154" s="60"/>
      <c r="J154" s="58"/>
      <c r="K154" s="59"/>
      <c r="L154" s="60"/>
      <c r="M154" s="58"/>
      <c r="N154" s="59"/>
      <c r="O154" s="60"/>
    </row>
    <row r="155" ht="15.75" customHeight="1">
      <c r="A155" s="58"/>
      <c r="B155" s="59"/>
      <c r="C155" s="60"/>
      <c r="D155" s="58"/>
      <c r="E155" s="59"/>
      <c r="F155" s="60"/>
      <c r="G155" s="58"/>
      <c r="H155" s="59"/>
      <c r="I155" s="60"/>
      <c r="J155" s="58"/>
      <c r="K155" s="59"/>
      <c r="L155" s="60"/>
      <c r="M155" s="58"/>
      <c r="N155" s="59"/>
      <c r="O155" s="60"/>
    </row>
    <row r="156" ht="15.75" customHeight="1">
      <c r="A156" s="58"/>
      <c r="B156" s="59"/>
      <c r="C156" s="60"/>
      <c r="D156" s="58"/>
      <c r="E156" s="59"/>
      <c r="F156" s="60"/>
      <c r="G156" s="58"/>
      <c r="H156" s="59"/>
      <c r="I156" s="60"/>
      <c r="J156" s="58"/>
      <c r="K156" s="59"/>
      <c r="L156" s="60"/>
      <c r="M156" s="58"/>
      <c r="N156" s="59"/>
      <c r="O156" s="60"/>
    </row>
    <row r="157" ht="15.75" customHeight="1">
      <c r="A157" s="58"/>
      <c r="B157" s="59"/>
      <c r="C157" s="60"/>
      <c r="D157" s="58"/>
      <c r="E157" s="59"/>
      <c r="F157" s="60"/>
      <c r="G157" s="58"/>
      <c r="H157" s="59"/>
      <c r="I157" s="60"/>
      <c r="J157" s="58"/>
      <c r="K157" s="59"/>
      <c r="L157" s="60"/>
      <c r="M157" s="58"/>
      <c r="N157" s="59"/>
      <c r="O157" s="60"/>
    </row>
    <row r="158" ht="15.75" customHeight="1">
      <c r="A158" s="58"/>
      <c r="B158" s="59"/>
      <c r="C158" s="60"/>
      <c r="D158" s="58"/>
      <c r="E158" s="59"/>
      <c r="F158" s="60"/>
      <c r="G158" s="58"/>
      <c r="H158" s="59"/>
      <c r="I158" s="60"/>
      <c r="J158" s="58"/>
      <c r="K158" s="59"/>
      <c r="L158" s="60"/>
      <c r="M158" s="58"/>
      <c r="N158" s="59"/>
      <c r="O158" s="60"/>
    </row>
    <row r="159" ht="15.75" customHeight="1">
      <c r="A159" s="58"/>
      <c r="B159" s="59"/>
      <c r="C159" s="60"/>
      <c r="D159" s="58"/>
      <c r="E159" s="59"/>
      <c r="F159" s="60"/>
      <c r="G159" s="58"/>
      <c r="H159" s="59"/>
      <c r="I159" s="60"/>
      <c r="J159" s="58"/>
      <c r="K159" s="59"/>
      <c r="L159" s="60"/>
      <c r="M159" s="58"/>
      <c r="N159" s="59"/>
      <c r="O159" s="60"/>
    </row>
    <row r="160" ht="15.75" customHeight="1">
      <c r="A160" s="58"/>
      <c r="B160" s="59"/>
      <c r="C160" s="60"/>
      <c r="D160" s="58"/>
      <c r="E160" s="59"/>
      <c r="F160" s="60"/>
      <c r="G160" s="58"/>
      <c r="H160" s="59"/>
      <c r="I160" s="60"/>
      <c r="J160" s="58"/>
      <c r="K160" s="59"/>
      <c r="L160" s="60"/>
      <c r="M160" s="58"/>
      <c r="N160" s="59"/>
      <c r="O160" s="60"/>
    </row>
    <row r="161" ht="15.75" customHeight="1">
      <c r="A161" s="58"/>
      <c r="B161" s="59"/>
      <c r="C161" s="60"/>
      <c r="D161" s="58"/>
      <c r="E161" s="59"/>
      <c r="F161" s="60"/>
      <c r="G161" s="58"/>
      <c r="H161" s="59"/>
      <c r="I161" s="60"/>
      <c r="J161" s="58"/>
      <c r="K161" s="59"/>
      <c r="L161" s="60"/>
      <c r="M161" s="58"/>
      <c r="N161" s="59"/>
      <c r="O161" s="60"/>
    </row>
    <row r="162" ht="15.75" customHeight="1">
      <c r="A162" s="58"/>
      <c r="B162" s="59"/>
      <c r="C162" s="60"/>
      <c r="D162" s="58"/>
      <c r="E162" s="59"/>
      <c r="F162" s="60"/>
      <c r="G162" s="58"/>
      <c r="H162" s="59"/>
      <c r="I162" s="60"/>
      <c r="J162" s="58"/>
      <c r="K162" s="59"/>
      <c r="L162" s="60"/>
      <c r="M162" s="58"/>
      <c r="N162" s="59"/>
      <c r="O162" s="60"/>
    </row>
    <row r="163" ht="15.75" customHeight="1">
      <c r="A163" s="58"/>
      <c r="B163" s="59"/>
      <c r="C163" s="60"/>
      <c r="D163" s="58"/>
      <c r="E163" s="59"/>
      <c r="F163" s="60"/>
      <c r="G163" s="58"/>
      <c r="H163" s="59"/>
      <c r="I163" s="60"/>
      <c r="J163" s="58"/>
      <c r="K163" s="59"/>
      <c r="L163" s="60"/>
      <c r="M163" s="58"/>
      <c r="N163" s="59"/>
      <c r="O163" s="60"/>
    </row>
    <row r="164" ht="15.75" customHeight="1">
      <c r="A164" s="58"/>
      <c r="B164" s="59"/>
      <c r="C164" s="60"/>
      <c r="D164" s="58"/>
      <c r="E164" s="59"/>
      <c r="F164" s="60"/>
      <c r="G164" s="58"/>
      <c r="H164" s="59"/>
      <c r="I164" s="60"/>
      <c r="J164" s="58"/>
      <c r="K164" s="59"/>
      <c r="L164" s="60"/>
      <c r="M164" s="58"/>
      <c r="N164" s="59"/>
      <c r="O164" s="60"/>
    </row>
    <row r="165" ht="15.75" customHeight="1">
      <c r="A165" s="58"/>
      <c r="B165" s="59"/>
      <c r="C165" s="60"/>
      <c r="D165" s="58"/>
      <c r="E165" s="59"/>
      <c r="F165" s="60"/>
      <c r="G165" s="58"/>
      <c r="H165" s="59"/>
      <c r="I165" s="60"/>
      <c r="J165" s="58"/>
      <c r="K165" s="59"/>
      <c r="L165" s="60"/>
      <c r="M165" s="58"/>
      <c r="N165" s="59"/>
      <c r="O165" s="60"/>
    </row>
    <row r="166" ht="15.75" customHeight="1">
      <c r="A166" s="58"/>
      <c r="B166" s="59"/>
      <c r="C166" s="60"/>
      <c r="D166" s="58"/>
      <c r="E166" s="59"/>
      <c r="F166" s="60"/>
      <c r="G166" s="58"/>
      <c r="H166" s="59"/>
      <c r="I166" s="60"/>
      <c r="J166" s="58"/>
      <c r="K166" s="59"/>
      <c r="L166" s="60"/>
      <c r="M166" s="58"/>
      <c r="N166" s="59"/>
      <c r="O166" s="60"/>
    </row>
    <row r="167" ht="15.75" customHeight="1">
      <c r="A167" s="58"/>
      <c r="B167" s="59"/>
      <c r="C167" s="60"/>
      <c r="D167" s="58"/>
      <c r="E167" s="59"/>
      <c r="F167" s="60"/>
      <c r="G167" s="58"/>
      <c r="H167" s="59"/>
      <c r="I167" s="60"/>
      <c r="J167" s="58"/>
      <c r="K167" s="59"/>
      <c r="L167" s="60"/>
      <c r="M167" s="58"/>
      <c r="N167" s="59"/>
      <c r="O167" s="60"/>
    </row>
    <row r="168" ht="15.75" customHeight="1">
      <c r="A168" s="58"/>
      <c r="B168" s="59"/>
      <c r="C168" s="60"/>
      <c r="D168" s="58"/>
      <c r="E168" s="59"/>
      <c r="F168" s="60"/>
      <c r="G168" s="58"/>
      <c r="H168" s="59"/>
      <c r="I168" s="60"/>
      <c r="J168" s="58"/>
      <c r="K168" s="59"/>
      <c r="L168" s="60"/>
      <c r="M168" s="58"/>
      <c r="N168" s="59"/>
      <c r="O168" s="60"/>
    </row>
    <row r="169" ht="15.75" customHeight="1">
      <c r="A169" s="58"/>
      <c r="B169" s="59"/>
      <c r="C169" s="60"/>
      <c r="D169" s="58"/>
      <c r="E169" s="59"/>
      <c r="F169" s="60"/>
      <c r="G169" s="58"/>
      <c r="H169" s="59"/>
      <c r="I169" s="60"/>
      <c r="J169" s="58"/>
      <c r="K169" s="59"/>
      <c r="L169" s="60"/>
      <c r="M169" s="58"/>
      <c r="N169" s="59"/>
      <c r="O169" s="60"/>
    </row>
    <row r="170" ht="15.75" customHeight="1">
      <c r="A170" s="58"/>
      <c r="B170" s="59"/>
      <c r="C170" s="60"/>
      <c r="D170" s="58"/>
      <c r="E170" s="59"/>
      <c r="F170" s="60"/>
      <c r="G170" s="58"/>
      <c r="H170" s="59"/>
      <c r="I170" s="60"/>
      <c r="J170" s="58"/>
      <c r="K170" s="59"/>
      <c r="L170" s="60"/>
      <c r="M170" s="58"/>
      <c r="N170" s="59"/>
      <c r="O170" s="60"/>
    </row>
    <row r="171" ht="15.75" customHeight="1">
      <c r="A171" s="58"/>
      <c r="B171" s="59"/>
      <c r="C171" s="60"/>
      <c r="D171" s="58"/>
      <c r="E171" s="59"/>
      <c r="F171" s="60"/>
      <c r="G171" s="58"/>
      <c r="H171" s="59"/>
      <c r="I171" s="60"/>
      <c r="J171" s="58"/>
      <c r="K171" s="59"/>
      <c r="L171" s="60"/>
      <c r="M171" s="58"/>
      <c r="N171" s="59"/>
      <c r="O171" s="60"/>
    </row>
    <row r="172" ht="15.75" customHeight="1">
      <c r="A172" s="58"/>
      <c r="B172" s="59"/>
      <c r="C172" s="60"/>
      <c r="D172" s="58"/>
      <c r="E172" s="59"/>
      <c r="F172" s="60"/>
      <c r="G172" s="58"/>
      <c r="H172" s="59"/>
      <c r="I172" s="60"/>
      <c r="J172" s="58"/>
      <c r="K172" s="59"/>
      <c r="L172" s="60"/>
      <c r="M172" s="58"/>
      <c r="N172" s="59"/>
      <c r="O172" s="60"/>
    </row>
    <row r="173" ht="15.75" customHeight="1">
      <c r="A173" s="58"/>
      <c r="B173" s="59"/>
      <c r="C173" s="60"/>
      <c r="D173" s="58"/>
      <c r="E173" s="59"/>
      <c r="F173" s="60"/>
      <c r="G173" s="58"/>
      <c r="H173" s="59"/>
      <c r="I173" s="60"/>
      <c r="J173" s="58"/>
      <c r="K173" s="59"/>
      <c r="L173" s="60"/>
      <c r="M173" s="58"/>
      <c r="N173" s="59"/>
      <c r="O173" s="60"/>
    </row>
    <row r="174" ht="15.75" customHeight="1">
      <c r="A174" s="58"/>
      <c r="B174" s="59"/>
      <c r="C174" s="60"/>
      <c r="D174" s="58"/>
      <c r="E174" s="59"/>
      <c r="F174" s="60"/>
      <c r="G174" s="58"/>
      <c r="H174" s="59"/>
      <c r="I174" s="60"/>
      <c r="J174" s="58"/>
      <c r="K174" s="59"/>
      <c r="L174" s="60"/>
      <c r="M174" s="58"/>
      <c r="N174" s="59"/>
      <c r="O174" s="60"/>
    </row>
    <row r="175" ht="15.75" customHeight="1">
      <c r="A175" s="58"/>
      <c r="B175" s="59"/>
      <c r="C175" s="60"/>
      <c r="D175" s="58"/>
      <c r="E175" s="59"/>
      <c r="F175" s="60"/>
      <c r="G175" s="58"/>
      <c r="H175" s="59"/>
      <c r="I175" s="60"/>
      <c r="J175" s="58"/>
      <c r="K175" s="59"/>
      <c r="L175" s="60"/>
      <c r="M175" s="58"/>
      <c r="N175" s="59"/>
      <c r="O175" s="60"/>
    </row>
    <row r="176" ht="15.75" customHeight="1">
      <c r="A176" s="58"/>
      <c r="B176" s="59"/>
      <c r="C176" s="60"/>
      <c r="D176" s="58"/>
      <c r="E176" s="59"/>
      <c r="F176" s="60"/>
      <c r="G176" s="58"/>
      <c r="H176" s="59"/>
      <c r="I176" s="60"/>
      <c r="J176" s="58"/>
      <c r="K176" s="59"/>
      <c r="L176" s="60"/>
      <c r="M176" s="58"/>
      <c r="N176" s="59"/>
      <c r="O176" s="60"/>
    </row>
    <row r="177" ht="15.75" customHeight="1">
      <c r="A177" s="58"/>
      <c r="B177" s="59"/>
      <c r="C177" s="60"/>
      <c r="D177" s="58"/>
      <c r="E177" s="59"/>
      <c r="F177" s="60"/>
      <c r="G177" s="58"/>
      <c r="H177" s="59"/>
      <c r="I177" s="60"/>
      <c r="J177" s="58"/>
      <c r="K177" s="59"/>
      <c r="L177" s="60"/>
      <c r="M177" s="58"/>
      <c r="N177" s="59"/>
      <c r="O177" s="60"/>
    </row>
    <row r="178" ht="15.75" customHeight="1">
      <c r="A178" s="58"/>
      <c r="B178" s="59"/>
      <c r="C178" s="60"/>
      <c r="D178" s="58"/>
      <c r="E178" s="59"/>
      <c r="F178" s="60"/>
      <c r="G178" s="58"/>
      <c r="H178" s="59"/>
      <c r="I178" s="60"/>
      <c r="J178" s="58"/>
      <c r="K178" s="59"/>
      <c r="L178" s="60"/>
      <c r="M178" s="58"/>
      <c r="N178" s="59"/>
      <c r="O178" s="60"/>
    </row>
    <row r="179" ht="15.75" customHeight="1">
      <c r="A179" s="58"/>
      <c r="B179" s="59"/>
      <c r="C179" s="60"/>
      <c r="D179" s="58"/>
      <c r="E179" s="59"/>
      <c r="F179" s="60"/>
      <c r="G179" s="58"/>
      <c r="H179" s="59"/>
      <c r="I179" s="60"/>
      <c r="J179" s="58"/>
      <c r="K179" s="59"/>
      <c r="L179" s="60"/>
      <c r="M179" s="58"/>
      <c r="N179" s="59"/>
      <c r="O179" s="60"/>
    </row>
    <row r="180" ht="15.75" customHeight="1">
      <c r="A180" s="58"/>
      <c r="B180" s="59"/>
      <c r="C180" s="60"/>
      <c r="D180" s="58"/>
      <c r="E180" s="59"/>
      <c r="F180" s="60"/>
      <c r="G180" s="58"/>
      <c r="H180" s="59"/>
      <c r="I180" s="60"/>
      <c r="J180" s="58"/>
      <c r="K180" s="59"/>
      <c r="L180" s="60"/>
      <c r="M180" s="58"/>
      <c r="N180" s="59"/>
      <c r="O180" s="60"/>
    </row>
    <row r="181" ht="15.75" customHeight="1">
      <c r="A181" s="58"/>
      <c r="B181" s="59"/>
      <c r="C181" s="60"/>
      <c r="D181" s="58"/>
      <c r="E181" s="59"/>
      <c r="F181" s="60"/>
      <c r="G181" s="58"/>
      <c r="H181" s="59"/>
      <c r="I181" s="60"/>
      <c r="J181" s="58"/>
      <c r="K181" s="59"/>
      <c r="L181" s="60"/>
      <c r="M181" s="58"/>
      <c r="N181" s="59"/>
      <c r="O181" s="60"/>
    </row>
    <row r="182" ht="15.75" customHeight="1">
      <c r="A182" s="58"/>
      <c r="B182" s="59"/>
      <c r="C182" s="60"/>
      <c r="D182" s="58"/>
      <c r="E182" s="59"/>
      <c r="F182" s="60"/>
      <c r="G182" s="58"/>
      <c r="H182" s="59"/>
      <c r="I182" s="60"/>
      <c r="J182" s="58"/>
      <c r="K182" s="59"/>
      <c r="L182" s="60"/>
      <c r="M182" s="58"/>
      <c r="N182" s="59"/>
      <c r="O182" s="60"/>
    </row>
    <row r="183" ht="15.75" customHeight="1">
      <c r="A183" s="58"/>
      <c r="B183" s="59"/>
      <c r="C183" s="60"/>
      <c r="D183" s="58"/>
      <c r="E183" s="59"/>
      <c r="F183" s="60"/>
      <c r="G183" s="58"/>
      <c r="H183" s="59"/>
      <c r="I183" s="60"/>
      <c r="J183" s="58"/>
      <c r="K183" s="59"/>
      <c r="L183" s="60"/>
      <c r="M183" s="58"/>
      <c r="N183" s="59"/>
      <c r="O183" s="60"/>
    </row>
    <row r="184" ht="15.75" customHeight="1">
      <c r="A184" s="58"/>
      <c r="B184" s="59"/>
      <c r="C184" s="60"/>
      <c r="D184" s="58"/>
      <c r="E184" s="59"/>
      <c r="F184" s="60"/>
      <c r="G184" s="58"/>
      <c r="H184" s="59"/>
      <c r="I184" s="60"/>
      <c r="J184" s="58"/>
      <c r="K184" s="59"/>
      <c r="L184" s="60"/>
      <c r="M184" s="58"/>
      <c r="N184" s="59"/>
      <c r="O184" s="60"/>
    </row>
    <row r="185" ht="15.75" customHeight="1">
      <c r="A185" s="58"/>
      <c r="B185" s="59"/>
      <c r="C185" s="60"/>
      <c r="D185" s="58"/>
      <c r="E185" s="59"/>
      <c r="F185" s="60"/>
      <c r="G185" s="58"/>
      <c r="H185" s="59"/>
      <c r="I185" s="60"/>
      <c r="J185" s="58"/>
      <c r="K185" s="59"/>
      <c r="L185" s="60"/>
      <c r="M185" s="58"/>
      <c r="N185" s="59"/>
      <c r="O185" s="60"/>
    </row>
    <row r="186" ht="15.75" customHeight="1">
      <c r="A186" s="58"/>
      <c r="B186" s="59"/>
      <c r="C186" s="60"/>
      <c r="D186" s="58"/>
      <c r="E186" s="59"/>
      <c r="F186" s="60"/>
      <c r="G186" s="58"/>
      <c r="H186" s="59"/>
      <c r="I186" s="60"/>
      <c r="J186" s="58"/>
      <c r="K186" s="59"/>
      <c r="L186" s="60"/>
      <c r="M186" s="58"/>
      <c r="N186" s="59"/>
      <c r="O186" s="60"/>
    </row>
    <row r="187" ht="15.75" customHeight="1">
      <c r="A187" s="58"/>
      <c r="B187" s="59"/>
      <c r="C187" s="60"/>
      <c r="D187" s="58"/>
      <c r="E187" s="59"/>
      <c r="F187" s="60"/>
      <c r="G187" s="58"/>
      <c r="H187" s="59"/>
      <c r="I187" s="60"/>
      <c r="J187" s="58"/>
      <c r="K187" s="59"/>
      <c r="L187" s="60"/>
      <c r="M187" s="58"/>
      <c r="N187" s="59"/>
      <c r="O187" s="60"/>
    </row>
    <row r="188" ht="15.75" customHeight="1">
      <c r="A188" s="58"/>
      <c r="B188" s="59"/>
      <c r="C188" s="60"/>
      <c r="D188" s="58"/>
      <c r="E188" s="59"/>
      <c r="F188" s="60"/>
      <c r="G188" s="58"/>
      <c r="H188" s="59"/>
      <c r="I188" s="60"/>
      <c r="J188" s="58"/>
      <c r="K188" s="59"/>
      <c r="L188" s="60"/>
      <c r="M188" s="58"/>
      <c r="N188" s="59"/>
      <c r="O188" s="60"/>
    </row>
    <row r="189" ht="15.75" customHeight="1">
      <c r="A189" s="58"/>
      <c r="B189" s="59"/>
      <c r="C189" s="60"/>
      <c r="D189" s="58"/>
      <c r="E189" s="59"/>
      <c r="F189" s="60"/>
      <c r="G189" s="58"/>
      <c r="H189" s="59"/>
      <c r="I189" s="60"/>
      <c r="J189" s="58"/>
      <c r="K189" s="59"/>
      <c r="L189" s="60"/>
      <c r="M189" s="58"/>
      <c r="N189" s="59"/>
      <c r="O189" s="60"/>
    </row>
    <row r="190" ht="15.75" customHeight="1">
      <c r="A190" s="58"/>
      <c r="B190" s="59"/>
      <c r="C190" s="60"/>
      <c r="D190" s="58"/>
      <c r="E190" s="59"/>
      <c r="F190" s="60"/>
      <c r="G190" s="58"/>
      <c r="H190" s="59"/>
      <c r="I190" s="60"/>
      <c r="J190" s="58"/>
      <c r="K190" s="59"/>
      <c r="L190" s="60"/>
      <c r="M190" s="58"/>
      <c r="N190" s="59"/>
      <c r="O190" s="60"/>
    </row>
    <row r="191" ht="15.75" customHeight="1">
      <c r="A191" s="58"/>
      <c r="B191" s="59"/>
      <c r="C191" s="60"/>
      <c r="D191" s="58"/>
      <c r="E191" s="59"/>
      <c r="F191" s="60"/>
      <c r="G191" s="58"/>
      <c r="H191" s="59"/>
      <c r="I191" s="60"/>
      <c r="J191" s="58"/>
      <c r="K191" s="59"/>
      <c r="L191" s="60"/>
      <c r="M191" s="58"/>
      <c r="N191" s="59"/>
      <c r="O191" s="60"/>
    </row>
    <row r="192" ht="15.75" customHeight="1">
      <c r="A192" s="58"/>
      <c r="B192" s="59"/>
      <c r="C192" s="60"/>
      <c r="D192" s="58"/>
      <c r="E192" s="59"/>
      <c r="F192" s="60"/>
      <c r="G192" s="58"/>
      <c r="H192" s="59"/>
      <c r="I192" s="60"/>
      <c r="J192" s="58"/>
      <c r="K192" s="59"/>
      <c r="L192" s="60"/>
      <c r="M192" s="58"/>
      <c r="N192" s="59"/>
      <c r="O192" s="60"/>
    </row>
    <row r="193" ht="15.75" customHeight="1">
      <c r="A193" s="58"/>
      <c r="B193" s="59"/>
      <c r="C193" s="60"/>
      <c r="D193" s="58"/>
      <c r="E193" s="59"/>
      <c r="F193" s="60"/>
      <c r="G193" s="58"/>
      <c r="H193" s="59"/>
      <c r="I193" s="60"/>
      <c r="J193" s="58"/>
      <c r="K193" s="59"/>
      <c r="L193" s="60"/>
      <c r="M193" s="58"/>
      <c r="N193" s="59"/>
      <c r="O193" s="60"/>
    </row>
    <row r="194" ht="15.75" customHeight="1">
      <c r="A194" s="58"/>
      <c r="B194" s="59"/>
      <c r="C194" s="60"/>
      <c r="D194" s="58"/>
      <c r="E194" s="59"/>
      <c r="F194" s="60"/>
      <c r="G194" s="58"/>
      <c r="H194" s="59"/>
      <c r="I194" s="60"/>
      <c r="J194" s="58"/>
      <c r="K194" s="59"/>
      <c r="L194" s="60"/>
      <c r="M194" s="58"/>
      <c r="N194" s="59"/>
      <c r="O194" s="60"/>
    </row>
    <row r="195" ht="15.75" customHeight="1">
      <c r="A195" s="58"/>
      <c r="B195" s="59"/>
      <c r="C195" s="60"/>
      <c r="D195" s="58"/>
      <c r="E195" s="59"/>
      <c r="F195" s="60"/>
      <c r="G195" s="58"/>
      <c r="H195" s="59"/>
      <c r="I195" s="60"/>
      <c r="J195" s="58"/>
      <c r="K195" s="59"/>
      <c r="L195" s="60"/>
      <c r="M195" s="58"/>
      <c r="N195" s="59"/>
      <c r="O195" s="60"/>
    </row>
    <row r="196" ht="15.75" customHeight="1">
      <c r="A196" s="58"/>
      <c r="B196" s="59"/>
      <c r="C196" s="60"/>
      <c r="D196" s="58"/>
      <c r="E196" s="59"/>
      <c r="F196" s="60"/>
      <c r="G196" s="58"/>
      <c r="H196" s="59"/>
      <c r="I196" s="60"/>
      <c r="J196" s="58"/>
      <c r="K196" s="59"/>
      <c r="L196" s="60"/>
      <c r="M196" s="58"/>
      <c r="N196" s="59"/>
      <c r="O196" s="60"/>
    </row>
    <row r="197" ht="15.75" customHeight="1">
      <c r="A197" s="58"/>
      <c r="B197" s="59"/>
      <c r="C197" s="60"/>
      <c r="D197" s="58"/>
      <c r="E197" s="59"/>
      <c r="F197" s="60"/>
      <c r="G197" s="58"/>
      <c r="H197" s="59"/>
      <c r="I197" s="60"/>
      <c r="J197" s="58"/>
      <c r="K197" s="59"/>
      <c r="L197" s="60"/>
      <c r="M197" s="58"/>
      <c r="N197" s="59"/>
      <c r="O197" s="60"/>
    </row>
    <row r="198" ht="15.75" customHeight="1">
      <c r="A198" s="58"/>
      <c r="B198" s="59"/>
      <c r="C198" s="60"/>
      <c r="D198" s="58"/>
      <c r="E198" s="59"/>
      <c r="F198" s="60"/>
      <c r="G198" s="58"/>
      <c r="H198" s="59"/>
      <c r="I198" s="60"/>
      <c r="J198" s="58"/>
      <c r="K198" s="59"/>
      <c r="L198" s="60"/>
      <c r="M198" s="58"/>
      <c r="N198" s="59"/>
      <c r="O198" s="60"/>
    </row>
    <row r="199" ht="15.75" customHeight="1">
      <c r="A199" s="58"/>
      <c r="B199" s="59"/>
      <c r="C199" s="60"/>
      <c r="D199" s="58"/>
      <c r="E199" s="59"/>
      <c r="F199" s="60"/>
      <c r="G199" s="58"/>
      <c r="H199" s="59"/>
      <c r="I199" s="60"/>
      <c r="J199" s="58"/>
      <c r="K199" s="59"/>
      <c r="L199" s="60"/>
      <c r="M199" s="58"/>
      <c r="N199" s="59"/>
      <c r="O199" s="60"/>
    </row>
    <row r="200" ht="15.75" customHeight="1">
      <c r="A200" s="58"/>
      <c r="B200" s="59"/>
      <c r="C200" s="60"/>
      <c r="D200" s="58"/>
      <c r="E200" s="59"/>
      <c r="F200" s="60"/>
      <c r="G200" s="58"/>
      <c r="H200" s="59"/>
      <c r="I200" s="60"/>
      <c r="J200" s="58"/>
      <c r="K200" s="59"/>
      <c r="L200" s="60"/>
      <c r="M200" s="58"/>
      <c r="N200" s="59"/>
      <c r="O200" s="60"/>
    </row>
    <row r="201" ht="15.75" customHeight="1">
      <c r="A201" s="58"/>
      <c r="B201" s="59"/>
      <c r="C201" s="60"/>
      <c r="D201" s="58"/>
      <c r="E201" s="59"/>
      <c r="F201" s="60"/>
      <c r="G201" s="58"/>
      <c r="H201" s="59"/>
      <c r="I201" s="60"/>
      <c r="J201" s="58"/>
      <c r="K201" s="59"/>
      <c r="L201" s="60"/>
      <c r="M201" s="58"/>
      <c r="N201" s="59"/>
      <c r="O201" s="60"/>
    </row>
    <row r="202" ht="15.75" customHeight="1">
      <c r="A202" s="58"/>
      <c r="B202" s="59"/>
      <c r="C202" s="60"/>
      <c r="D202" s="58"/>
      <c r="E202" s="59"/>
      <c r="F202" s="60"/>
      <c r="G202" s="58"/>
      <c r="H202" s="59"/>
      <c r="I202" s="60"/>
      <c r="J202" s="58"/>
      <c r="K202" s="59"/>
      <c r="L202" s="60"/>
      <c r="M202" s="58"/>
      <c r="N202" s="59"/>
      <c r="O202" s="60"/>
    </row>
    <row r="203" ht="15.75" customHeight="1">
      <c r="A203" s="58"/>
      <c r="B203" s="59"/>
      <c r="C203" s="60"/>
      <c r="D203" s="58"/>
      <c r="E203" s="59"/>
      <c r="F203" s="60"/>
      <c r="G203" s="58"/>
      <c r="H203" s="59"/>
      <c r="I203" s="60"/>
      <c r="J203" s="58"/>
      <c r="K203" s="59"/>
      <c r="L203" s="60"/>
      <c r="M203" s="58"/>
      <c r="N203" s="59"/>
      <c r="O203" s="60"/>
    </row>
    <row r="204" ht="15.75" customHeight="1">
      <c r="A204" s="58"/>
      <c r="B204" s="59"/>
      <c r="C204" s="60"/>
      <c r="D204" s="58"/>
      <c r="E204" s="59"/>
      <c r="F204" s="60"/>
      <c r="G204" s="58"/>
      <c r="H204" s="59"/>
      <c r="I204" s="60"/>
      <c r="J204" s="58"/>
      <c r="K204" s="59"/>
      <c r="L204" s="60"/>
      <c r="M204" s="58"/>
      <c r="N204" s="59"/>
      <c r="O204" s="60"/>
    </row>
    <row r="205" ht="15.75" customHeight="1">
      <c r="A205" s="58"/>
      <c r="B205" s="59"/>
      <c r="C205" s="60"/>
      <c r="D205" s="58"/>
      <c r="E205" s="59"/>
      <c r="F205" s="60"/>
      <c r="G205" s="58"/>
      <c r="H205" s="59"/>
      <c r="I205" s="60"/>
      <c r="J205" s="58"/>
      <c r="K205" s="59"/>
      <c r="L205" s="60"/>
      <c r="M205" s="58"/>
      <c r="N205" s="59"/>
      <c r="O205" s="60"/>
    </row>
    <row r="206" ht="15.75" customHeight="1">
      <c r="A206" s="58"/>
      <c r="B206" s="59"/>
      <c r="C206" s="60"/>
      <c r="D206" s="58"/>
      <c r="E206" s="59"/>
      <c r="F206" s="60"/>
      <c r="G206" s="58"/>
      <c r="H206" s="59"/>
      <c r="I206" s="60"/>
      <c r="J206" s="58"/>
      <c r="K206" s="59"/>
      <c r="L206" s="60"/>
      <c r="M206" s="58"/>
      <c r="N206" s="59"/>
      <c r="O206" s="60"/>
    </row>
    <row r="207" ht="15.75" customHeight="1">
      <c r="A207" s="58"/>
      <c r="B207" s="59"/>
      <c r="C207" s="60"/>
      <c r="D207" s="58"/>
      <c r="E207" s="59"/>
      <c r="F207" s="60"/>
      <c r="G207" s="58"/>
      <c r="H207" s="59"/>
      <c r="I207" s="60"/>
      <c r="J207" s="58"/>
      <c r="K207" s="59"/>
      <c r="L207" s="60"/>
      <c r="M207" s="58"/>
      <c r="N207" s="59"/>
      <c r="O207" s="60"/>
    </row>
    <row r="208" ht="15.75" customHeight="1">
      <c r="A208" s="58"/>
      <c r="B208" s="59"/>
      <c r="C208" s="60"/>
      <c r="D208" s="58"/>
      <c r="E208" s="59"/>
      <c r="F208" s="60"/>
      <c r="G208" s="58"/>
      <c r="H208" s="59"/>
      <c r="I208" s="60"/>
      <c r="J208" s="58"/>
      <c r="K208" s="59"/>
      <c r="L208" s="60"/>
      <c r="M208" s="58"/>
      <c r="N208" s="59"/>
      <c r="O208" s="60"/>
    </row>
    <row r="209" ht="15.75" customHeight="1">
      <c r="A209" s="58"/>
      <c r="B209" s="59"/>
      <c r="C209" s="60"/>
      <c r="D209" s="58"/>
      <c r="E209" s="59"/>
      <c r="F209" s="60"/>
      <c r="G209" s="58"/>
      <c r="H209" s="59"/>
      <c r="I209" s="60"/>
      <c r="J209" s="58"/>
      <c r="K209" s="59"/>
      <c r="L209" s="60"/>
      <c r="M209" s="58"/>
      <c r="N209" s="59"/>
      <c r="O209" s="60"/>
    </row>
    <row r="210" ht="15.75" customHeight="1">
      <c r="A210" s="58"/>
      <c r="B210" s="59"/>
      <c r="C210" s="60"/>
      <c r="D210" s="58"/>
      <c r="E210" s="59"/>
      <c r="F210" s="60"/>
      <c r="G210" s="58"/>
      <c r="H210" s="59"/>
      <c r="I210" s="60"/>
      <c r="J210" s="58"/>
      <c r="K210" s="59"/>
      <c r="L210" s="60"/>
      <c r="M210" s="58"/>
      <c r="N210" s="59"/>
      <c r="O210" s="60"/>
    </row>
    <row r="211" ht="15.75" customHeight="1">
      <c r="A211" s="58"/>
      <c r="B211" s="59"/>
      <c r="C211" s="60"/>
      <c r="D211" s="58"/>
      <c r="E211" s="59"/>
      <c r="F211" s="60"/>
      <c r="G211" s="58"/>
      <c r="H211" s="59"/>
      <c r="I211" s="60"/>
      <c r="J211" s="58"/>
      <c r="K211" s="59"/>
      <c r="L211" s="60"/>
      <c r="M211" s="58"/>
      <c r="N211" s="59"/>
      <c r="O211" s="60"/>
    </row>
    <row r="212" ht="15.75" customHeight="1">
      <c r="A212" s="58"/>
      <c r="B212" s="59"/>
      <c r="C212" s="60"/>
      <c r="D212" s="58"/>
      <c r="E212" s="59"/>
      <c r="F212" s="60"/>
      <c r="G212" s="58"/>
      <c r="H212" s="59"/>
      <c r="I212" s="60"/>
      <c r="J212" s="58"/>
      <c r="K212" s="59"/>
      <c r="L212" s="60"/>
      <c r="M212" s="58"/>
      <c r="N212" s="59"/>
      <c r="O212" s="60"/>
    </row>
    <row r="213" ht="15.75" customHeight="1">
      <c r="A213" s="58"/>
      <c r="B213" s="59"/>
      <c r="C213" s="60"/>
      <c r="D213" s="58"/>
      <c r="E213" s="59"/>
      <c r="F213" s="60"/>
      <c r="G213" s="58"/>
      <c r="H213" s="59"/>
      <c r="I213" s="60"/>
      <c r="J213" s="58"/>
      <c r="K213" s="59"/>
      <c r="L213" s="60"/>
      <c r="M213" s="58"/>
      <c r="N213" s="59"/>
      <c r="O213" s="60"/>
    </row>
    <row r="214" ht="15.75" customHeight="1">
      <c r="A214" s="58"/>
      <c r="B214" s="59"/>
      <c r="C214" s="60"/>
      <c r="D214" s="58"/>
      <c r="E214" s="59"/>
      <c r="F214" s="60"/>
      <c r="G214" s="58"/>
      <c r="H214" s="59"/>
      <c r="I214" s="60"/>
      <c r="J214" s="58"/>
      <c r="K214" s="59"/>
      <c r="L214" s="60"/>
      <c r="M214" s="58"/>
      <c r="N214" s="59"/>
      <c r="O214" s="60"/>
    </row>
    <row r="215" ht="15.75" customHeight="1">
      <c r="A215" s="58"/>
      <c r="B215" s="59"/>
      <c r="C215" s="60"/>
      <c r="D215" s="58"/>
      <c r="E215" s="59"/>
      <c r="F215" s="60"/>
      <c r="G215" s="58"/>
      <c r="H215" s="59"/>
      <c r="I215" s="60"/>
      <c r="J215" s="58"/>
      <c r="K215" s="59"/>
      <c r="L215" s="60"/>
      <c r="M215" s="58"/>
      <c r="N215" s="59"/>
      <c r="O215" s="60"/>
    </row>
    <row r="216" ht="15.75" customHeight="1">
      <c r="A216" s="58"/>
      <c r="B216" s="59"/>
      <c r="C216" s="60"/>
      <c r="D216" s="58"/>
      <c r="E216" s="59"/>
      <c r="F216" s="60"/>
      <c r="G216" s="58"/>
      <c r="H216" s="59"/>
      <c r="I216" s="60"/>
      <c r="J216" s="58"/>
      <c r="K216" s="59"/>
      <c r="L216" s="60"/>
      <c r="M216" s="58"/>
      <c r="N216" s="59"/>
      <c r="O216" s="60"/>
    </row>
    <row r="217" ht="15.75" customHeight="1">
      <c r="A217" s="58"/>
      <c r="B217" s="59"/>
      <c r="C217" s="60"/>
      <c r="D217" s="58"/>
      <c r="E217" s="59"/>
      <c r="F217" s="60"/>
      <c r="G217" s="58"/>
      <c r="H217" s="59"/>
      <c r="I217" s="60"/>
      <c r="J217" s="58"/>
      <c r="K217" s="59"/>
      <c r="L217" s="60"/>
      <c r="M217" s="58"/>
      <c r="N217" s="59"/>
      <c r="O217" s="60"/>
    </row>
    <row r="218" ht="15.75" customHeight="1">
      <c r="A218" s="58"/>
      <c r="B218" s="59"/>
      <c r="C218" s="60"/>
      <c r="D218" s="58"/>
      <c r="E218" s="59"/>
      <c r="F218" s="60"/>
      <c r="G218" s="58"/>
      <c r="H218" s="59"/>
      <c r="I218" s="60"/>
      <c r="J218" s="58"/>
      <c r="K218" s="59"/>
      <c r="L218" s="60"/>
      <c r="M218" s="58"/>
      <c r="N218" s="59"/>
      <c r="O218" s="60"/>
    </row>
    <row r="219" ht="15.75" customHeight="1">
      <c r="A219" s="58"/>
      <c r="B219" s="59"/>
      <c r="C219" s="60"/>
      <c r="D219" s="58"/>
      <c r="E219" s="59"/>
      <c r="F219" s="60"/>
      <c r="G219" s="58"/>
      <c r="H219" s="59"/>
      <c r="I219" s="60"/>
      <c r="J219" s="58"/>
      <c r="K219" s="59"/>
      <c r="L219" s="60"/>
      <c r="M219" s="58"/>
      <c r="N219" s="59"/>
      <c r="O219" s="60"/>
    </row>
    <row r="220" ht="15.75" customHeight="1">
      <c r="A220" s="58"/>
      <c r="B220" s="59"/>
      <c r="C220" s="60"/>
      <c r="D220" s="58"/>
      <c r="E220" s="59"/>
      <c r="F220" s="60"/>
      <c r="G220" s="58"/>
      <c r="H220" s="59"/>
      <c r="I220" s="60"/>
      <c r="J220" s="58"/>
      <c r="K220" s="59"/>
      <c r="L220" s="60"/>
      <c r="M220" s="58"/>
      <c r="N220" s="59"/>
      <c r="O220" s="60"/>
    </row>
    <row r="221" ht="15.75" customHeight="1">
      <c r="A221" s="58"/>
      <c r="B221" s="59"/>
      <c r="C221" s="60"/>
      <c r="D221" s="58"/>
      <c r="E221" s="59"/>
      <c r="F221" s="60"/>
      <c r="G221" s="58"/>
      <c r="H221" s="59"/>
      <c r="I221" s="60"/>
      <c r="J221" s="58"/>
      <c r="K221" s="59"/>
      <c r="L221" s="60"/>
      <c r="M221" s="58"/>
      <c r="N221" s="59"/>
      <c r="O221" s="60"/>
    </row>
    <row r="222" ht="15.75" customHeight="1">
      <c r="A222" s="58"/>
      <c r="B222" s="59"/>
      <c r="C222" s="60"/>
      <c r="D222" s="58"/>
      <c r="E222" s="59"/>
      <c r="F222" s="60"/>
      <c r="G222" s="58"/>
      <c r="H222" s="59"/>
      <c r="I222" s="60"/>
      <c r="J222" s="58"/>
      <c r="K222" s="59"/>
      <c r="L222" s="60"/>
      <c r="M222" s="58"/>
      <c r="N222" s="59"/>
      <c r="O222" s="60"/>
    </row>
    <row r="223" ht="15.75" customHeight="1">
      <c r="A223" s="58"/>
      <c r="B223" s="59"/>
      <c r="C223" s="60"/>
      <c r="D223" s="58"/>
      <c r="E223" s="59"/>
      <c r="F223" s="60"/>
      <c r="G223" s="58"/>
      <c r="H223" s="59"/>
      <c r="I223" s="60"/>
      <c r="J223" s="58"/>
      <c r="K223" s="59"/>
      <c r="L223" s="60"/>
      <c r="M223" s="58"/>
      <c r="N223" s="59"/>
      <c r="O223" s="60"/>
    </row>
    <row r="224" ht="15.75" customHeight="1">
      <c r="A224" s="58"/>
      <c r="B224" s="59"/>
      <c r="C224" s="60"/>
      <c r="D224" s="58"/>
      <c r="E224" s="59"/>
      <c r="F224" s="60"/>
      <c r="G224" s="58"/>
      <c r="H224" s="59"/>
      <c r="I224" s="60"/>
      <c r="J224" s="58"/>
      <c r="K224" s="59"/>
      <c r="L224" s="60"/>
      <c r="M224" s="58"/>
      <c r="N224" s="59"/>
      <c r="O224" s="60"/>
    </row>
    <row r="225" ht="15.75" customHeight="1">
      <c r="A225" s="58"/>
      <c r="B225" s="59"/>
      <c r="C225" s="60"/>
      <c r="D225" s="58"/>
      <c r="E225" s="59"/>
      <c r="F225" s="60"/>
      <c r="G225" s="58"/>
      <c r="H225" s="59"/>
      <c r="I225" s="60"/>
      <c r="J225" s="58"/>
      <c r="K225" s="59"/>
      <c r="L225" s="60"/>
      <c r="M225" s="58"/>
      <c r="N225" s="59"/>
      <c r="O225" s="60"/>
    </row>
    <row r="226" ht="15.75" customHeight="1">
      <c r="A226" s="58"/>
      <c r="B226" s="59"/>
      <c r="C226" s="60"/>
      <c r="D226" s="58"/>
      <c r="E226" s="59"/>
      <c r="F226" s="60"/>
      <c r="G226" s="58"/>
      <c r="H226" s="59"/>
      <c r="I226" s="60"/>
      <c r="J226" s="58"/>
      <c r="K226" s="59"/>
      <c r="L226" s="60"/>
      <c r="M226" s="58"/>
      <c r="N226" s="59"/>
      <c r="O226" s="60"/>
    </row>
    <row r="227" ht="15.75" customHeight="1">
      <c r="A227" s="58"/>
      <c r="B227" s="59"/>
      <c r="C227" s="60"/>
      <c r="D227" s="58"/>
      <c r="E227" s="59"/>
      <c r="F227" s="60"/>
      <c r="G227" s="58"/>
      <c r="H227" s="59"/>
      <c r="I227" s="60"/>
      <c r="J227" s="58"/>
      <c r="K227" s="59"/>
      <c r="L227" s="60"/>
      <c r="M227" s="58"/>
      <c r="N227" s="59"/>
      <c r="O227" s="60"/>
    </row>
    <row r="228" ht="15.75" customHeight="1">
      <c r="A228" s="58"/>
      <c r="B228" s="59"/>
      <c r="C228" s="60"/>
      <c r="D228" s="58"/>
      <c r="E228" s="59"/>
      <c r="F228" s="60"/>
      <c r="G228" s="58"/>
      <c r="H228" s="59"/>
      <c r="I228" s="60"/>
      <c r="J228" s="58"/>
      <c r="K228" s="59"/>
      <c r="L228" s="60"/>
      <c r="M228" s="58"/>
      <c r="N228" s="59"/>
      <c r="O228" s="60"/>
    </row>
    <row r="229" ht="15.75" customHeight="1">
      <c r="A229" s="58"/>
      <c r="C229" s="49"/>
      <c r="D229" s="58"/>
      <c r="F229" s="49"/>
      <c r="G229" s="58"/>
      <c r="I229" s="49"/>
      <c r="J229" s="58"/>
      <c r="L229" s="49"/>
      <c r="M229" s="58"/>
      <c r="O229" s="49"/>
    </row>
    <row r="230" ht="15.75" customHeight="1">
      <c r="A230" s="58"/>
      <c r="C230" s="49"/>
      <c r="D230" s="58"/>
      <c r="F230" s="49"/>
      <c r="G230" s="58"/>
      <c r="I230" s="49"/>
      <c r="J230" s="58"/>
      <c r="L230" s="49"/>
      <c r="M230" s="58"/>
      <c r="O230" s="49"/>
    </row>
    <row r="231" ht="15.75" customHeight="1">
      <c r="A231" s="58"/>
      <c r="C231" s="49"/>
      <c r="D231" s="58"/>
      <c r="F231" s="49"/>
      <c r="G231" s="58"/>
      <c r="I231" s="49"/>
      <c r="J231" s="58"/>
      <c r="L231" s="49"/>
      <c r="M231" s="58"/>
      <c r="O231" s="49"/>
    </row>
    <row r="232" ht="15.75" customHeight="1">
      <c r="A232" s="58"/>
      <c r="C232" s="49"/>
      <c r="D232" s="58"/>
      <c r="F232" s="49"/>
      <c r="G232" s="58"/>
      <c r="I232" s="49"/>
      <c r="J232" s="58"/>
      <c r="L232" s="49"/>
      <c r="M232" s="58"/>
      <c r="O232" s="49"/>
    </row>
    <row r="233" ht="15.75" customHeight="1">
      <c r="A233" s="58"/>
      <c r="C233" s="49"/>
      <c r="D233" s="58"/>
      <c r="F233" s="49"/>
      <c r="G233" s="58"/>
      <c r="I233" s="49"/>
      <c r="J233" s="58"/>
      <c r="L233" s="49"/>
      <c r="M233" s="58"/>
      <c r="O233" s="49"/>
    </row>
    <row r="234" ht="15.75" customHeight="1">
      <c r="A234" s="58"/>
      <c r="C234" s="49"/>
      <c r="D234" s="58"/>
      <c r="F234" s="49"/>
      <c r="G234" s="58"/>
      <c r="I234" s="49"/>
      <c r="J234" s="58"/>
      <c r="L234" s="49"/>
      <c r="M234" s="58"/>
      <c r="O234" s="49"/>
    </row>
    <row r="235" ht="15.75" customHeight="1">
      <c r="A235" s="58"/>
      <c r="C235" s="49"/>
      <c r="D235" s="58"/>
      <c r="F235" s="49"/>
      <c r="G235" s="58"/>
      <c r="I235" s="49"/>
      <c r="J235" s="58"/>
      <c r="L235" s="49"/>
      <c r="M235" s="58"/>
      <c r="O235" s="49"/>
    </row>
    <row r="236" ht="15.75" customHeight="1">
      <c r="A236" s="58"/>
      <c r="C236" s="49"/>
      <c r="D236" s="58"/>
      <c r="F236" s="49"/>
      <c r="G236" s="58"/>
      <c r="I236" s="49"/>
      <c r="J236" s="58"/>
      <c r="L236" s="49"/>
      <c r="M236" s="58"/>
      <c r="O236" s="49"/>
    </row>
    <row r="237" ht="15.75" customHeight="1">
      <c r="A237" s="58"/>
      <c r="C237" s="49"/>
      <c r="D237" s="58"/>
      <c r="F237" s="49"/>
      <c r="G237" s="58"/>
      <c r="I237" s="49"/>
      <c r="J237" s="58"/>
      <c r="L237" s="49"/>
      <c r="M237" s="58"/>
      <c r="O237" s="49"/>
    </row>
    <row r="238" ht="15.75" customHeight="1">
      <c r="A238" s="58"/>
      <c r="C238" s="49"/>
      <c r="D238" s="58"/>
      <c r="F238" s="49"/>
      <c r="G238" s="58"/>
      <c r="I238" s="49"/>
      <c r="J238" s="58"/>
      <c r="L238" s="49"/>
      <c r="M238" s="58"/>
      <c r="O238" s="49"/>
    </row>
    <row r="239" ht="15.75" customHeight="1">
      <c r="A239" s="58"/>
      <c r="C239" s="49"/>
      <c r="D239" s="58"/>
      <c r="F239" s="49"/>
      <c r="G239" s="58"/>
      <c r="I239" s="49"/>
      <c r="J239" s="58"/>
      <c r="L239" s="49"/>
      <c r="M239" s="58"/>
      <c r="O239" s="49"/>
    </row>
    <row r="240" ht="15.75" customHeight="1">
      <c r="A240" s="58"/>
      <c r="C240" s="49"/>
      <c r="D240" s="58"/>
      <c r="F240" s="49"/>
      <c r="G240" s="58"/>
      <c r="I240" s="49"/>
      <c r="J240" s="58"/>
      <c r="L240" s="49"/>
      <c r="M240" s="58"/>
      <c r="O240" s="49"/>
    </row>
    <row r="241" ht="15.75" customHeight="1">
      <c r="A241" s="58"/>
      <c r="C241" s="49"/>
      <c r="D241" s="58"/>
      <c r="F241" s="49"/>
      <c r="G241" s="58"/>
      <c r="I241" s="49"/>
      <c r="J241" s="58"/>
      <c r="L241" s="49"/>
      <c r="M241" s="58"/>
      <c r="O241" s="49"/>
    </row>
    <row r="242" ht="15.75" customHeight="1">
      <c r="A242" s="58"/>
      <c r="C242" s="49"/>
      <c r="D242" s="58"/>
      <c r="F242" s="49"/>
      <c r="G242" s="58"/>
      <c r="I242" s="49"/>
      <c r="J242" s="58"/>
      <c r="L242" s="49"/>
      <c r="M242" s="58"/>
      <c r="O242" s="49"/>
    </row>
    <row r="243" ht="15.75" customHeight="1">
      <c r="A243" s="58"/>
      <c r="C243" s="49"/>
      <c r="D243" s="58"/>
      <c r="F243" s="49"/>
      <c r="G243" s="58"/>
      <c r="I243" s="49"/>
      <c r="J243" s="58"/>
      <c r="L243" s="49"/>
      <c r="M243" s="58"/>
      <c r="O243" s="49"/>
    </row>
    <row r="244" ht="15.75" customHeight="1">
      <c r="A244" s="58"/>
      <c r="C244" s="49"/>
      <c r="D244" s="58"/>
      <c r="F244" s="49"/>
      <c r="G244" s="58"/>
      <c r="I244" s="49"/>
      <c r="J244" s="58"/>
      <c r="L244" s="49"/>
      <c r="M244" s="58"/>
      <c r="O244" s="49"/>
    </row>
    <row r="245" ht="15.75" customHeight="1">
      <c r="A245" s="58"/>
      <c r="C245" s="49"/>
      <c r="D245" s="58"/>
      <c r="F245" s="49"/>
      <c r="G245" s="58"/>
      <c r="I245" s="49"/>
      <c r="J245" s="58"/>
      <c r="L245" s="49"/>
      <c r="M245" s="58"/>
      <c r="O245" s="49"/>
    </row>
    <row r="246" ht="15.75" customHeight="1">
      <c r="A246" s="58"/>
      <c r="C246" s="49"/>
      <c r="D246" s="58"/>
      <c r="F246" s="49"/>
      <c r="G246" s="58"/>
      <c r="I246" s="49"/>
      <c r="J246" s="58"/>
      <c r="L246" s="49"/>
      <c r="M246" s="58"/>
      <c r="O246" s="49"/>
    </row>
    <row r="247" ht="15.75" customHeight="1">
      <c r="A247" s="58"/>
      <c r="C247" s="49"/>
      <c r="D247" s="58"/>
      <c r="F247" s="49"/>
      <c r="G247" s="58"/>
      <c r="I247" s="49"/>
      <c r="J247" s="58"/>
      <c r="L247" s="49"/>
      <c r="M247" s="58"/>
      <c r="O247" s="49"/>
    </row>
    <row r="248" ht="15.75" customHeight="1">
      <c r="A248" s="58"/>
      <c r="C248" s="49"/>
      <c r="D248" s="58"/>
      <c r="F248" s="49"/>
      <c r="G248" s="58"/>
      <c r="I248" s="49"/>
      <c r="J248" s="58"/>
      <c r="L248" s="49"/>
      <c r="M248" s="58"/>
      <c r="O248" s="49"/>
    </row>
    <row r="249" ht="15.75" customHeight="1">
      <c r="A249" s="58"/>
      <c r="C249" s="49"/>
      <c r="D249" s="58"/>
      <c r="F249" s="49"/>
      <c r="G249" s="58"/>
      <c r="I249" s="49"/>
      <c r="J249" s="58"/>
      <c r="L249" s="49"/>
      <c r="M249" s="58"/>
      <c r="O249" s="49"/>
    </row>
    <row r="250" ht="15.75" customHeight="1">
      <c r="A250" s="58"/>
      <c r="C250" s="49"/>
      <c r="D250" s="58"/>
      <c r="F250" s="49"/>
      <c r="G250" s="58"/>
      <c r="I250" s="49"/>
      <c r="J250" s="58"/>
      <c r="L250" s="49"/>
      <c r="M250" s="58"/>
      <c r="O250" s="49"/>
    </row>
    <row r="251" ht="15.75" customHeight="1">
      <c r="A251" s="58"/>
      <c r="C251" s="49"/>
      <c r="D251" s="58"/>
      <c r="F251" s="49"/>
      <c r="G251" s="58"/>
      <c r="I251" s="49"/>
      <c r="J251" s="58"/>
      <c r="L251" s="49"/>
      <c r="M251" s="58"/>
      <c r="O251" s="49"/>
    </row>
    <row r="252" ht="15.75" customHeight="1">
      <c r="A252" s="58"/>
      <c r="C252" s="49"/>
      <c r="D252" s="58"/>
      <c r="F252" s="49"/>
      <c r="G252" s="58"/>
      <c r="I252" s="49"/>
      <c r="J252" s="58"/>
      <c r="L252" s="49"/>
      <c r="M252" s="58"/>
      <c r="O252" s="49"/>
    </row>
    <row r="253" ht="15.75" customHeight="1">
      <c r="A253" s="58"/>
      <c r="C253" s="49"/>
      <c r="D253" s="58"/>
      <c r="F253" s="49"/>
      <c r="G253" s="58"/>
      <c r="I253" s="49"/>
      <c r="J253" s="58"/>
      <c r="L253" s="49"/>
      <c r="M253" s="58"/>
      <c r="O253" s="49"/>
    </row>
    <row r="254" ht="15.75" customHeight="1">
      <c r="A254" s="58"/>
      <c r="C254" s="49"/>
      <c r="D254" s="58"/>
      <c r="F254" s="49"/>
      <c r="G254" s="58"/>
      <c r="I254" s="49"/>
      <c r="J254" s="58"/>
      <c r="L254" s="49"/>
      <c r="M254" s="58"/>
      <c r="O254" s="49"/>
    </row>
    <row r="255" ht="15.75" customHeight="1">
      <c r="A255" s="58"/>
      <c r="C255" s="49"/>
      <c r="D255" s="58"/>
      <c r="F255" s="49"/>
      <c r="G255" s="58"/>
      <c r="I255" s="49"/>
      <c r="J255" s="58"/>
      <c r="L255" s="49"/>
      <c r="M255" s="58"/>
      <c r="O255" s="49"/>
    </row>
    <row r="256" ht="15.75" customHeight="1">
      <c r="A256" s="58"/>
      <c r="C256" s="49"/>
      <c r="D256" s="58"/>
      <c r="F256" s="49"/>
      <c r="G256" s="58"/>
      <c r="I256" s="49"/>
      <c r="J256" s="58"/>
      <c r="L256" s="49"/>
      <c r="M256" s="58"/>
      <c r="O256" s="49"/>
    </row>
    <row r="257" ht="15.75" customHeight="1">
      <c r="A257" s="58"/>
      <c r="C257" s="49"/>
      <c r="D257" s="58"/>
      <c r="F257" s="49"/>
      <c r="G257" s="58"/>
      <c r="I257" s="49"/>
      <c r="J257" s="58"/>
      <c r="L257" s="49"/>
      <c r="M257" s="58"/>
      <c r="O257" s="49"/>
    </row>
    <row r="258" ht="15.75" customHeight="1">
      <c r="A258" s="58"/>
      <c r="C258" s="49"/>
      <c r="D258" s="58"/>
      <c r="F258" s="49"/>
      <c r="G258" s="58"/>
      <c r="I258" s="49"/>
      <c r="J258" s="58"/>
      <c r="L258" s="49"/>
      <c r="M258" s="58"/>
      <c r="O258" s="49"/>
    </row>
    <row r="259" ht="15.75" customHeight="1">
      <c r="A259" s="58"/>
      <c r="C259" s="49"/>
      <c r="D259" s="58"/>
      <c r="F259" s="49"/>
      <c r="G259" s="58"/>
      <c r="I259" s="49"/>
      <c r="J259" s="58"/>
      <c r="L259" s="49"/>
      <c r="M259" s="58"/>
      <c r="O259" s="49"/>
    </row>
    <row r="260" ht="15.75" customHeight="1">
      <c r="A260" s="58"/>
      <c r="C260" s="49"/>
      <c r="D260" s="58"/>
      <c r="F260" s="49"/>
      <c r="G260" s="58"/>
      <c r="I260" s="49"/>
      <c r="J260" s="58"/>
      <c r="L260" s="49"/>
      <c r="M260" s="58"/>
      <c r="O260" s="49"/>
    </row>
    <row r="261" ht="15.75" customHeight="1">
      <c r="A261" s="58"/>
      <c r="C261" s="49"/>
      <c r="D261" s="58"/>
      <c r="F261" s="49"/>
      <c r="G261" s="58"/>
      <c r="I261" s="49"/>
      <c r="J261" s="58"/>
      <c r="L261" s="49"/>
      <c r="M261" s="58"/>
      <c r="O261" s="49"/>
    </row>
    <row r="262" ht="15.75" customHeight="1">
      <c r="A262" s="58"/>
      <c r="C262" s="49"/>
      <c r="D262" s="58"/>
      <c r="F262" s="49"/>
      <c r="G262" s="58"/>
      <c r="I262" s="49"/>
      <c r="J262" s="58"/>
      <c r="L262" s="49"/>
      <c r="M262" s="58"/>
      <c r="O262" s="49"/>
    </row>
    <row r="263" ht="15.75" customHeight="1">
      <c r="A263" s="58"/>
      <c r="C263" s="49"/>
      <c r="D263" s="58"/>
      <c r="F263" s="49"/>
      <c r="G263" s="58"/>
      <c r="I263" s="49"/>
      <c r="J263" s="58"/>
      <c r="L263" s="49"/>
      <c r="M263" s="58"/>
      <c r="O263" s="49"/>
    </row>
    <row r="264" ht="15.75" customHeight="1">
      <c r="A264" s="58"/>
      <c r="C264" s="49"/>
      <c r="D264" s="58"/>
      <c r="F264" s="49"/>
      <c r="G264" s="58"/>
      <c r="I264" s="49"/>
      <c r="J264" s="58"/>
      <c r="L264" s="49"/>
      <c r="M264" s="58"/>
      <c r="O264" s="49"/>
    </row>
    <row r="265" ht="15.75" customHeight="1">
      <c r="A265" s="58"/>
      <c r="C265" s="49"/>
      <c r="D265" s="58"/>
      <c r="F265" s="49"/>
      <c r="G265" s="58"/>
      <c r="I265" s="49"/>
      <c r="J265" s="58"/>
      <c r="L265" s="49"/>
      <c r="M265" s="58"/>
      <c r="O265" s="49"/>
    </row>
    <row r="266" ht="15.75" customHeight="1">
      <c r="A266" s="58"/>
      <c r="C266" s="49"/>
      <c r="D266" s="58"/>
      <c r="F266" s="49"/>
      <c r="G266" s="58"/>
      <c r="I266" s="49"/>
      <c r="J266" s="58"/>
      <c r="L266" s="49"/>
      <c r="M266" s="58"/>
      <c r="O266" s="49"/>
    </row>
    <row r="267" ht="15.75" customHeight="1">
      <c r="A267" s="58"/>
      <c r="C267" s="49"/>
      <c r="D267" s="58"/>
      <c r="F267" s="49"/>
      <c r="G267" s="58"/>
      <c r="I267" s="49"/>
      <c r="J267" s="58"/>
      <c r="L267" s="49"/>
      <c r="M267" s="58"/>
      <c r="O267" s="49"/>
    </row>
    <row r="268" ht="15.75" customHeight="1">
      <c r="A268" s="58"/>
      <c r="C268" s="49"/>
      <c r="D268" s="58"/>
      <c r="F268" s="49"/>
      <c r="G268" s="58"/>
      <c r="I268" s="49"/>
      <c r="J268" s="58"/>
      <c r="L268" s="49"/>
      <c r="M268" s="58"/>
      <c r="O268" s="49"/>
    </row>
    <row r="269" ht="15.75" customHeight="1">
      <c r="A269" s="58"/>
      <c r="C269" s="49"/>
      <c r="D269" s="58"/>
      <c r="F269" s="49"/>
      <c r="G269" s="58"/>
      <c r="I269" s="49"/>
      <c r="J269" s="58"/>
      <c r="L269" s="49"/>
      <c r="M269" s="58"/>
      <c r="O269" s="49"/>
    </row>
    <row r="270" ht="15.75" customHeight="1">
      <c r="A270" s="58"/>
      <c r="C270" s="49"/>
      <c r="D270" s="58"/>
      <c r="F270" s="49"/>
      <c r="G270" s="58"/>
      <c r="I270" s="49"/>
      <c r="J270" s="58"/>
      <c r="L270" s="49"/>
      <c r="M270" s="58"/>
      <c r="O270" s="49"/>
    </row>
    <row r="271" ht="15.75" customHeight="1">
      <c r="A271" s="58"/>
      <c r="C271" s="49"/>
      <c r="D271" s="58"/>
      <c r="F271" s="49"/>
      <c r="G271" s="58"/>
      <c r="I271" s="49"/>
      <c r="J271" s="58"/>
      <c r="L271" s="49"/>
      <c r="M271" s="58"/>
      <c r="O271" s="49"/>
    </row>
    <row r="272" ht="15.75" customHeight="1">
      <c r="A272" s="58"/>
      <c r="C272" s="49"/>
      <c r="D272" s="58"/>
      <c r="F272" s="49"/>
      <c r="G272" s="58"/>
      <c r="I272" s="49"/>
      <c r="J272" s="58"/>
      <c r="L272" s="49"/>
      <c r="M272" s="58"/>
      <c r="O272" s="49"/>
    </row>
    <row r="273" ht="15.75" customHeight="1">
      <c r="A273" s="58"/>
      <c r="C273" s="49"/>
      <c r="D273" s="58"/>
      <c r="F273" s="49"/>
      <c r="G273" s="58"/>
      <c r="I273" s="49"/>
      <c r="J273" s="58"/>
      <c r="L273" s="49"/>
      <c r="M273" s="58"/>
      <c r="O273" s="49"/>
    </row>
    <row r="274" ht="15.75" customHeight="1">
      <c r="A274" s="58"/>
      <c r="C274" s="49"/>
      <c r="D274" s="58"/>
      <c r="F274" s="49"/>
      <c r="G274" s="58"/>
      <c r="I274" s="49"/>
      <c r="J274" s="58"/>
      <c r="L274" s="49"/>
      <c r="M274" s="58"/>
      <c r="O274" s="49"/>
    </row>
    <row r="275" ht="15.75" customHeight="1">
      <c r="A275" s="58"/>
      <c r="C275" s="49"/>
      <c r="D275" s="58"/>
      <c r="F275" s="49"/>
      <c r="G275" s="58"/>
      <c r="I275" s="49"/>
      <c r="J275" s="58"/>
      <c r="L275" s="49"/>
      <c r="M275" s="58"/>
      <c r="O275" s="49"/>
    </row>
    <row r="276" ht="15.75" customHeight="1">
      <c r="A276" s="58"/>
      <c r="C276" s="49"/>
      <c r="D276" s="58"/>
      <c r="F276" s="49"/>
      <c r="G276" s="58"/>
      <c r="I276" s="49"/>
      <c r="J276" s="58"/>
      <c r="L276" s="49"/>
      <c r="M276" s="58"/>
      <c r="O276" s="49"/>
    </row>
    <row r="277" ht="15.75" customHeight="1">
      <c r="A277" s="58"/>
      <c r="C277" s="49"/>
      <c r="D277" s="58"/>
      <c r="F277" s="49"/>
      <c r="G277" s="58"/>
      <c r="I277" s="49"/>
      <c r="J277" s="58"/>
      <c r="L277" s="49"/>
      <c r="M277" s="58"/>
      <c r="O277" s="49"/>
    </row>
    <row r="278" ht="15.75" customHeight="1">
      <c r="A278" s="58"/>
      <c r="C278" s="49"/>
      <c r="D278" s="58"/>
      <c r="F278" s="49"/>
      <c r="G278" s="58"/>
      <c r="I278" s="49"/>
      <c r="J278" s="58"/>
      <c r="L278" s="49"/>
      <c r="M278" s="58"/>
      <c r="O278" s="49"/>
    </row>
    <row r="279" ht="15.75" customHeight="1">
      <c r="A279" s="58"/>
      <c r="C279" s="49"/>
      <c r="D279" s="58"/>
      <c r="F279" s="49"/>
      <c r="G279" s="58"/>
      <c r="I279" s="49"/>
      <c r="J279" s="58"/>
      <c r="L279" s="49"/>
      <c r="M279" s="58"/>
      <c r="O279" s="49"/>
    </row>
    <row r="280" ht="15.75" customHeight="1">
      <c r="A280" s="58"/>
      <c r="C280" s="49"/>
      <c r="D280" s="58"/>
      <c r="F280" s="49"/>
      <c r="G280" s="58"/>
      <c r="I280" s="49"/>
      <c r="J280" s="58"/>
      <c r="L280" s="49"/>
      <c r="M280" s="58"/>
      <c r="O280" s="49"/>
    </row>
    <row r="281" ht="15.75" customHeight="1">
      <c r="A281" s="58"/>
      <c r="C281" s="49"/>
      <c r="D281" s="58"/>
      <c r="F281" s="49"/>
      <c r="G281" s="58"/>
      <c r="I281" s="49"/>
      <c r="J281" s="58"/>
      <c r="L281" s="49"/>
      <c r="M281" s="58"/>
      <c r="O281" s="49"/>
    </row>
    <row r="282" ht="15.75" customHeight="1">
      <c r="A282" s="58"/>
      <c r="C282" s="49"/>
      <c r="D282" s="58"/>
      <c r="F282" s="49"/>
      <c r="G282" s="58"/>
      <c r="I282" s="49"/>
      <c r="J282" s="58"/>
      <c r="L282" s="49"/>
      <c r="M282" s="58"/>
      <c r="O282" s="49"/>
    </row>
    <row r="283" ht="15.75" customHeight="1">
      <c r="A283" s="58"/>
      <c r="C283" s="49"/>
      <c r="D283" s="58"/>
      <c r="F283" s="49"/>
      <c r="G283" s="58"/>
      <c r="I283" s="49"/>
      <c r="J283" s="58"/>
      <c r="L283" s="49"/>
      <c r="M283" s="58"/>
      <c r="O283" s="49"/>
    </row>
    <row r="284" ht="15.75" customHeight="1">
      <c r="A284" s="58"/>
      <c r="C284" s="49"/>
      <c r="D284" s="58"/>
      <c r="F284" s="49"/>
      <c r="G284" s="58"/>
      <c r="I284" s="49"/>
      <c r="J284" s="58"/>
      <c r="L284" s="49"/>
      <c r="M284" s="58"/>
      <c r="O284" s="49"/>
    </row>
    <row r="285" ht="15.75" customHeight="1">
      <c r="A285" s="58"/>
      <c r="C285" s="49"/>
      <c r="D285" s="58"/>
      <c r="F285" s="49"/>
      <c r="G285" s="58"/>
      <c r="I285" s="49"/>
      <c r="J285" s="58"/>
      <c r="L285" s="49"/>
      <c r="M285" s="58"/>
      <c r="O285" s="49"/>
    </row>
    <row r="286" ht="15.75" customHeight="1">
      <c r="A286" s="58"/>
      <c r="C286" s="49"/>
      <c r="D286" s="58"/>
      <c r="F286" s="49"/>
      <c r="G286" s="58"/>
      <c r="I286" s="49"/>
      <c r="J286" s="58"/>
      <c r="L286" s="49"/>
      <c r="M286" s="58"/>
      <c r="O286" s="49"/>
    </row>
    <row r="287" ht="15.75" customHeight="1">
      <c r="A287" s="58"/>
      <c r="C287" s="49"/>
      <c r="D287" s="58"/>
      <c r="F287" s="49"/>
      <c r="G287" s="58"/>
      <c r="I287" s="49"/>
      <c r="J287" s="58"/>
      <c r="L287" s="49"/>
      <c r="M287" s="58"/>
      <c r="O287" s="49"/>
    </row>
    <row r="288" ht="15.75" customHeight="1">
      <c r="A288" s="58"/>
      <c r="C288" s="49"/>
      <c r="D288" s="58"/>
      <c r="F288" s="49"/>
      <c r="G288" s="58"/>
      <c r="I288" s="49"/>
      <c r="J288" s="58"/>
      <c r="L288" s="49"/>
      <c r="M288" s="58"/>
      <c r="O288" s="49"/>
    </row>
    <row r="289" ht="15.75" customHeight="1">
      <c r="A289" s="58"/>
      <c r="C289" s="49"/>
      <c r="D289" s="58"/>
      <c r="F289" s="49"/>
      <c r="G289" s="58"/>
      <c r="I289" s="49"/>
      <c r="J289" s="58"/>
      <c r="L289" s="49"/>
      <c r="M289" s="58"/>
      <c r="O289" s="49"/>
    </row>
    <row r="290" ht="15.75" customHeight="1">
      <c r="A290" s="58"/>
      <c r="C290" s="49"/>
      <c r="D290" s="58"/>
      <c r="F290" s="49"/>
      <c r="G290" s="58"/>
      <c r="I290" s="49"/>
      <c r="J290" s="58"/>
      <c r="L290" s="49"/>
      <c r="M290" s="58"/>
      <c r="O290" s="49"/>
    </row>
    <row r="291" ht="15.75" customHeight="1">
      <c r="A291" s="58"/>
      <c r="C291" s="49"/>
      <c r="D291" s="58"/>
      <c r="F291" s="49"/>
      <c r="G291" s="58"/>
      <c r="I291" s="49"/>
      <c r="J291" s="58"/>
      <c r="L291" s="49"/>
      <c r="M291" s="58"/>
      <c r="O291" s="49"/>
    </row>
    <row r="292" ht="15.75" customHeight="1">
      <c r="A292" s="58"/>
      <c r="C292" s="49"/>
      <c r="D292" s="58"/>
      <c r="F292" s="49"/>
      <c r="G292" s="58"/>
      <c r="I292" s="49"/>
      <c r="J292" s="58"/>
      <c r="L292" s="49"/>
      <c r="M292" s="58"/>
      <c r="O292" s="49"/>
    </row>
    <row r="293" ht="15.75" customHeight="1">
      <c r="A293" s="58"/>
      <c r="C293" s="49"/>
      <c r="D293" s="58"/>
      <c r="F293" s="49"/>
      <c r="G293" s="58"/>
      <c r="I293" s="49"/>
      <c r="J293" s="58"/>
      <c r="L293" s="49"/>
      <c r="M293" s="58"/>
      <c r="O293" s="49"/>
    </row>
    <row r="294" ht="15.75" customHeight="1">
      <c r="A294" s="58"/>
      <c r="C294" s="49"/>
      <c r="D294" s="58"/>
      <c r="F294" s="49"/>
      <c r="G294" s="58"/>
      <c r="I294" s="49"/>
      <c r="J294" s="58"/>
      <c r="L294" s="49"/>
      <c r="M294" s="58"/>
      <c r="O294" s="49"/>
    </row>
    <row r="295" ht="15.75" customHeight="1">
      <c r="A295" s="58"/>
      <c r="C295" s="49"/>
      <c r="D295" s="58"/>
      <c r="F295" s="49"/>
      <c r="G295" s="58"/>
      <c r="I295" s="49"/>
      <c r="J295" s="58"/>
      <c r="L295" s="49"/>
      <c r="M295" s="58"/>
      <c r="O295" s="49"/>
    </row>
    <row r="296" ht="15.75" customHeight="1">
      <c r="A296" s="58"/>
      <c r="C296" s="49"/>
      <c r="D296" s="58"/>
      <c r="F296" s="49"/>
      <c r="G296" s="58"/>
      <c r="I296" s="49"/>
      <c r="J296" s="58"/>
      <c r="L296" s="49"/>
      <c r="M296" s="58"/>
      <c r="O296" s="49"/>
    </row>
    <row r="297" ht="15.75" customHeight="1">
      <c r="A297" s="58"/>
      <c r="C297" s="49"/>
      <c r="D297" s="58"/>
      <c r="F297" s="49"/>
      <c r="G297" s="58"/>
      <c r="I297" s="49"/>
      <c r="J297" s="58"/>
      <c r="L297" s="49"/>
      <c r="M297" s="58"/>
      <c r="O297" s="49"/>
    </row>
    <row r="298" ht="15.75" customHeight="1">
      <c r="A298" s="58"/>
      <c r="C298" s="49"/>
      <c r="D298" s="58"/>
      <c r="F298" s="49"/>
      <c r="G298" s="58"/>
      <c r="I298" s="49"/>
      <c r="J298" s="58"/>
      <c r="L298" s="49"/>
      <c r="M298" s="58"/>
      <c r="O298" s="49"/>
    </row>
    <row r="299" ht="15.75" customHeight="1">
      <c r="A299" s="58"/>
      <c r="C299" s="49"/>
      <c r="D299" s="58"/>
      <c r="F299" s="49"/>
      <c r="G299" s="58"/>
      <c r="I299" s="49"/>
      <c r="J299" s="58"/>
      <c r="L299" s="49"/>
      <c r="M299" s="58"/>
      <c r="O299" s="49"/>
    </row>
    <row r="300" ht="15.75" customHeight="1">
      <c r="A300" s="58"/>
      <c r="C300" s="49"/>
      <c r="D300" s="58"/>
      <c r="F300" s="49"/>
      <c r="G300" s="58"/>
      <c r="I300" s="49"/>
      <c r="J300" s="58"/>
      <c r="L300" s="49"/>
      <c r="M300" s="58"/>
      <c r="O300" s="49"/>
    </row>
    <row r="301" ht="15.75" customHeight="1">
      <c r="A301" s="58"/>
      <c r="C301" s="49"/>
      <c r="D301" s="58"/>
      <c r="F301" s="49"/>
      <c r="G301" s="58"/>
      <c r="I301" s="49"/>
      <c r="J301" s="58"/>
      <c r="L301" s="49"/>
      <c r="M301" s="58"/>
      <c r="O301" s="49"/>
    </row>
    <row r="302" ht="15.75" customHeight="1">
      <c r="A302" s="58"/>
      <c r="C302" s="49"/>
      <c r="D302" s="58"/>
      <c r="F302" s="49"/>
      <c r="G302" s="58"/>
      <c r="I302" s="49"/>
      <c r="J302" s="58"/>
      <c r="L302" s="49"/>
      <c r="M302" s="58"/>
      <c r="O302" s="49"/>
    </row>
    <row r="303" ht="15.75" customHeight="1">
      <c r="A303" s="58"/>
      <c r="C303" s="49"/>
      <c r="D303" s="58"/>
      <c r="F303" s="49"/>
      <c r="G303" s="58"/>
      <c r="I303" s="49"/>
      <c r="J303" s="58"/>
      <c r="L303" s="49"/>
      <c r="M303" s="58"/>
      <c r="O303" s="49"/>
    </row>
    <row r="304" ht="15.75" customHeight="1">
      <c r="A304" s="58"/>
      <c r="C304" s="49"/>
      <c r="D304" s="58"/>
      <c r="F304" s="49"/>
      <c r="G304" s="58"/>
      <c r="I304" s="49"/>
      <c r="J304" s="58"/>
      <c r="L304" s="49"/>
      <c r="M304" s="58"/>
      <c r="O304" s="49"/>
    </row>
    <row r="305" ht="15.75" customHeight="1">
      <c r="A305" s="58"/>
      <c r="C305" s="49"/>
      <c r="D305" s="58"/>
      <c r="F305" s="49"/>
      <c r="G305" s="58"/>
      <c r="I305" s="49"/>
      <c r="J305" s="58"/>
      <c r="L305" s="49"/>
      <c r="M305" s="58"/>
      <c r="O305" s="49"/>
    </row>
    <row r="306" ht="15.75" customHeight="1">
      <c r="A306" s="58"/>
      <c r="C306" s="49"/>
      <c r="D306" s="58"/>
      <c r="F306" s="49"/>
      <c r="G306" s="58"/>
      <c r="I306" s="49"/>
      <c r="J306" s="58"/>
      <c r="L306" s="49"/>
      <c r="M306" s="58"/>
      <c r="O306" s="49"/>
    </row>
    <row r="307" ht="15.75" customHeight="1">
      <c r="A307" s="58"/>
      <c r="C307" s="49"/>
      <c r="D307" s="58"/>
      <c r="F307" s="49"/>
      <c r="G307" s="58"/>
      <c r="I307" s="49"/>
      <c r="J307" s="58"/>
      <c r="L307" s="49"/>
      <c r="M307" s="58"/>
      <c r="O307" s="49"/>
    </row>
    <row r="308" ht="15.75" customHeight="1">
      <c r="A308" s="58"/>
      <c r="C308" s="49"/>
      <c r="D308" s="58"/>
      <c r="F308" s="49"/>
      <c r="G308" s="58"/>
      <c r="I308" s="49"/>
      <c r="J308" s="58"/>
      <c r="L308" s="49"/>
      <c r="M308" s="58"/>
      <c r="O308" s="49"/>
    </row>
    <row r="309" ht="15.75" customHeight="1">
      <c r="A309" s="58"/>
      <c r="C309" s="49"/>
      <c r="D309" s="58"/>
      <c r="F309" s="49"/>
      <c r="G309" s="58"/>
      <c r="I309" s="49"/>
      <c r="J309" s="58"/>
      <c r="L309" s="49"/>
      <c r="M309" s="58"/>
      <c r="O309" s="49"/>
    </row>
    <row r="310" ht="15.75" customHeight="1">
      <c r="A310" s="58"/>
      <c r="C310" s="49"/>
      <c r="D310" s="58"/>
      <c r="F310" s="49"/>
      <c r="G310" s="58"/>
      <c r="I310" s="49"/>
      <c r="J310" s="58"/>
      <c r="L310" s="49"/>
      <c r="M310" s="58"/>
      <c r="O310" s="49"/>
    </row>
    <row r="311" ht="15.75" customHeight="1">
      <c r="A311" s="58"/>
      <c r="C311" s="49"/>
      <c r="D311" s="58"/>
      <c r="F311" s="49"/>
      <c r="G311" s="58"/>
      <c r="I311" s="49"/>
      <c r="J311" s="58"/>
      <c r="L311" s="49"/>
      <c r="M311" s="58"/>
      <c r="O311" s="49"/>
    </row>
    <row r="312" ht="15.75" customHeight="1">
      <c r="A312" s="58"/>
      <c r="C312" s="49"/>
      <c r="D312" s="58"/>
      <c r="F312" s="49"/>
      <c r="G312" s="58"/>
      <c r="I312" s="49"/>
      <c r="J312" s="58"/>
      <c r="L312" s="49"/>
      <c r="M312" s="58"/>
      <c r="O312" s="49"/>
    </row>
    <row r="313" ht="15.75" customHeight="1">
      <c r="A313" s="58"/>
      <c r="C313" s="49"/>
      <c r="D313" s="58"/>
      <c r="F313" s="49"/>
      <c r="G313" s="58"/>
      <c r="I313" s="49"/>
      <c r="J313" s="58"/>
      <c r="L313" s="49"/>
      <c r="M313" s="58"/>
      <c r="O313" s="49"/>
    </row>
    <row r="314" ht="15.75" customHeight="1">
      <c r="A314" s="58"/>
      <c r="C314" s="49"/>
      <c r="D314" s="58"/>
      <c r="F314" s="49"/>
      <c r="G314" s="58"/>
      <c r="I314" s="49"/>
      <c r="J314" s="58"/>
      <c r="L314" s="49"/>
      <c r="M314" s="58"/>
      <c r="O314" s="49"/>
    </row>
    <row r="315" ht="15.75" customHeight="1">
      <c r="A315" s="58"/>
      <c r="C315" s="49"/>
      <c r="D315" s="58"/>
      <c r="F315" s="49"/>
      <c r="G315" s="58"/>
      <c r="I315" s="49"/>
      <c r="J315" s="58"/>
      <c r="L315" s="49"/>
      <c r="M315" s="58"/>
      <c r="O315" s="49"/>
    </row>
    <row r="316" ht="15.75" customHeight="1">
      <c r="A316" s="58"/>
      <c r="C316" s="49"/>
      <c r="D316" s="58"/>
      <c r="F316" s="49"/>
      <c r="G316" s="58"/>
      <c r="I316" s="49"/>
      <c r="J316" s="58"/>
      <c r="L316" s="49"/>
      <c r="M316" s="58"/>
      <c r="O316" s="49"/>
    </row>
    <row r="317" ht="15.75" customHeight="1">
      <c r="A317" s="58"/>
      <c r="C317" s="49"/>
      <c r="D317" s="58"/>
      <c r="F317" s="49"/>
      <c r="G317" s="58"/>
      <c r="I317" s="49"/>
      <c r="J317" s="58"/>
      <c r="L317" s="49"/>
      <c r="M317" s="58"/>
      <c r="O317" s="49"/>
    </row>
    <row r="318" ht="15.75" customHeight="1">
      <c r="A318" s="58"/>
      <c r="C318" s="49"/>
      <c r="D318" s="58"/>
      <c r="F318" s="49"/>
      <c r="G318" s="58"/>
      <c r="I318" s="49"/>
      <c r="J318" s="58"/>
      <c r="L318" s="49"/>
      <c r="M318" s="58"/>
      <c r="O318" s="49"/>
    </row>
    <row r="319" ht="15.75" customHeight="1">
      <c r="A319" s="58"/>
      <c r="C319" s="49"/>
      <c r="D319" s="58"/>
      <c r="F319" s="49"/>
      <c r="G319" s="58"/>
      <c r="I319" s="49"/>
      <c r="J319" s="58"/>
      <c r="L319" s="49"/>
      <c r="M319" s="58"/>
      <c r="O319" s="49"/>
    </row>
    <row r="320" ht="15.75" customHeight="1">
      <c r="A320" s="58"/>
      <c r="C320" s="49"/>
      <c r="D320" s="58"/>
      <c r="F320" s="49"/>
      <c r="G320" s="58"/>
      <c r="I320" s="49"/>
      <c r="J320" s="58"/>
      <c r="L320" s="49"/>
      <c r="M320" s="58"/>
      <c r="O320" s="49"/>
    </row>
    <row r="321" ht="15.75" customHeight="1">
      <c r="A321" s="58"/>
      <c r="C321" s="49"/>
      <c r="D321" s="58"/>
      <c r="F321" s="49"/>
      <c r="G321" s="58"/>
      <c r="I321" s="49"/>
      <c r="J321" s="58"/>
      <c r="L321" s="49"/>
      <c r="M321" s="58"/>
      <c r="O321" s="49"/>
    </row>
    <row r="322" ht="15.75" customHeight="1">
      <c r="A322" s="58"/>
      <c r="C322" s="49"/>
      <c r="D322" s="58"/>
      <c r="F322" s="49"/>
      <c r="G322" s="58"/>
      <c r="I322" s="49"/>
      <c r="J322" s="58"/>
      <c r="L322" s="49"/>
      <c r="M322" s="58"/>
      <c r="O322" s="49"/>
    </row>
    <row r="323" ht="15.75" customHeight="1">
      <c r="A323" s="58"/>
      <c r="C323" s="49"/>
      <c r="D323" s="58"/>
      <c r="F323" s="49"/>
      <c r="G323" s="58"/>
      <c r="I323" s="49"/>
      <c r="J323" s="58"/>
      <c r="L323" s="49"/>
      <c r="M323" s="58"/>
      <c r="O323" s="49"/>
    </row>
    <row r="324" ht="15.75" customHeight="1">
      <c r="A324" s="58"/>
      <c r="C324" s="49"/>
      <c r="D324" s="58"/>
      <c r="F324" s="49"/>
      <c r="G324" s="58"/>
      <c r="I324" s="49"/>
      <c r="J324" s="58"/>
      <c r="L324" s="49"/>
      <c r="M324" s="58"/>
      <c r="O324" s="49"/>
    </row>
    <row r="325" ht="15.75" customHeight="1">
      <c r="A325" s="58"/>
      <c r="C325" s="49"/>
      <c r="D325" s="58"/>
      <c r="F325" s="49"/>
      <c r="G325" s="58"/>
      <c r="I325" s="49"/>
      <c r="J325" s="58"/>
      <c r="L325" s="49"/>
      <c r="M325" s="58"/>
      <c r="O325" s="49"/>
    </row>
    <row r="326" ht="15.75" customHeight="1">
      <c r="A326" s="58"/>
      <c r="C326" s="49"/>
      <c r="D326" s="58"/>
      <c r="F326" s="49"/>
      <c r="G326" s="58"/>
      <c r="I326" s="49"/>
      <c r="J326" s="58"/>
      <c r="L326" s="49"/>
      <c r="M326" s="58"/>
      <c r="O326" s="49"/>
    </row>
    <row r="327" ht="15.75" customHeight="1">
      <c r="A327" s="58"/>
      <c r="C327" s="49"/>
      <c r="D327" s="58"/>
      <c r="F327" s="49"/>
      <c r="G327" s="58"/>
      <c r="I327" s="49"/>
      <c r="J327" s="58"/>
      <c r="L327" s="49"/>
      <c r="M327" s="58"/>
      <c r="O327" s="49"/>
    </row>
    <row r="328" ht="15.75" customHeight="1">
      <c r="A328" s="58"/>
      <c r="C328" s="49"/>
      <c r="D328" s="58"/>
      <c r="F328" s="49"/>
      <c r="G328" s="58"/>
      <c r="I328" s="49"/>
      <c r="J328" s="58"/>
      <c r="L328" s="49"/>
      <c r="M328" s="58"/>
      <c r="O328" s="49"/>
    </row>
    <row r="329" ht="15.75" customHeight="1">
      <c r="A329" s="58"/>
      <c r="C329" s="49"/>
      <c r="D329" s="58"/>
      <c r="F329" s="49"/>
      <c r="G329" s="58"/>
      <c r="I329" s="49"/>
      <c r="J329" s="58"/>
      <c r="L329" s="49"/>
      <c r="M329" s="58"/>
      <c r="O329" s="49"/>
    </row>
    <row r="330" ht="15.75" customHeight="1">
      <c r="A330" s="58"/>
      <c r="C330" s="49"/>
      <c r="D330" s="58"/>
      <c r="F330" s="49"/>
      <c r="G330" s="58"/>
      <c r="I330" s="49"/>
      <c r="J330" s="58"/>
      <c r="L330" s="49"/>
      <c r="M330" s="58"/>
      <c r="O330" s="49"/>
    </row>
    <row r="331" ht="15.75" customHeight="1">
      <c r="A331" s="58"/>
      <c r="C331" s="49"/>
      <c r="D331" s="58"/>
      <c r="F331" s="49"/>
      <c r="G331" s="58"/>
      <c r="I331" s="49"/>
      <c r="J331" s="58"/>
      <c r="L331" s="49"/>
      <c r="M331" s="58"/>
      <c r="O331" s="49"/>
    </row>
    <row r="332" ht="15.75" customHeight="1">
      <c r="A332" s="58"/>
      <c r="C332" s="49"/>
      <c r="D332" s="58"/>
      <c r="F332" s="49"/>
      <c r="G332" s="58"/>
      <c r="I332" s="49"/>
      <c r="J332" s="58"/>
      <c r="L332" s="49"/>
      <c r="M332" s="58"/>
      <c r="O332" s="49"/>
    </row>
    <row r="333" ht="15.75" customHeight="1">
      <c r="A333" s="58"/>
      <c r="C333" s="49"/>
      <c r="D333" s="58"/>
      <c r="F333" s="49"/>
      <c r="G333" s="58"/>
      <c r="I333" s="49"/>
      <c r="J333" s="58"/>
      <c r="L333" s="49"/>
      <c r="M333" s="58"/>
      <c r="O333" s="49"/>
    </row>
    <row r="334" ht="15.75" customHeight="1">
      <c r="A334" s="58"/>
      <c r="C334" s="49"/>
      <c r="D334" s="58"/>
      <c r="F334" s="49"/>
      <c r="G334" s="58"/>
      <c r="I334" s="49"/>
      <c r="J334" s="58"/>
      <c r="L334" s="49"/>
      <c r="M334" s="58"/>
      <c r="O334" s="49"/>
    </row>
    <row r="335" ht="15.75" customHeight="1">
      <c r="A335" s="58"/>
      <c r="C335" s="49"/>
      <c r="D335" s="58"/>
      <c r="F335" s="49"/>
      <c r="G335" s="58"/>
      <c r="I335" s="49"/>
      <c r="J335" s="58"/>
      <c r="L335" s="49"/>
      <c r="M335" s="58"/>
      <c r="O335" s="49"/>
    </row>
    <row r="336" ht="15.75" customHeight="1">
      <c r="A336" s="58"/>
      <c r="C336" s="49"/>
      <c r="D336" s="58"/>
      <c r="F336" s="49"/>
      <c r="G336" s="58"/>
      <c r="I336" s="49"/>
      <c r="J336" s="58"/>
      <c r="L336" s="49"/>
      <c r="M336" s="58"/>
      <c r="O336" s="49"/>
    </row>
    <row r="337" ht="15.75" customHeight="1">
      <c r="A337" s="58"/>
      <c r="C337" s="49"/>
      <c r="D337" s="58"/>
      <c r="F337" s="49"/>
      <c r="G337" s="58"/>
      <c r="I337" s="49"/>
      <c r="J337" s="58"/>
      <c r="L337" s="49"/>
      <c r="M337" s="58"/>
      <c r="O337" s="49"/>
    </row>
    <row r="338" ht="15.75" customHeight="1">
      <c r="A338" s="58"/>
      <c r="C338" s="49"/>
      <c r="D338" s="58"/>
      <c r="F338" s="49"/>
      <c r="G338" s="58"/>
      <c r="I338" s="49"/>
      <c r="J338" s="58"/>
      <c r="L338" s="49"/>
      <c r="M338" s="58"/>
      <c r="O338" s="49"/>
    </row>
    <row r="339" ht="15.75" customHeight="1">
      <c r="A339" s="58"/>
      <c r="C339" s="49"/>
      <c r="D339" s="58"/>
      <c r="F339" s="49"/>
      <c r="G339" s="58"/>
      <c r="I339" s="49"/>
      <c r="J339" s="58"/>
      <c r="L339" s="49"/>
      <c r="M339" s="58"/>
      <c r="O339" s="49"/>
    </row>
    <row r="340" ht="15.75" customHeight="1">
      <c r="A340" s="58"/>
      <c r="C340" s="49"/>
      <c r="D340" s="58"/>
      <c r="F340" s="49"/>
      <c r="G340" s="58"/>
      <c r="I340" s="49"/>
      <c r="J340" s="58"/>
      <c r="L340" s="49"/>
      <c r="M340" s="58"/>
      <c r="O340" s="49"/>
    </row>
    <row r="341" ht="15.75" customHeight="1">
      <c r="A341" s="58"/>
      <c r="C341" s="49"/>
      <c r="D341" s="58"/>
      <c r="F341" s="49"/>
      <c r="G341" s="58"/>
      <c r="I341" s="49"/>
      <c r="J341" s="58"/>
      <c r="L341" s="49"/>
      <c r="M341" s="58"/>
      <c r="O341" s="49"/>
    </row>
    <row r="342" ht="15.75" customHeight="1">
      <c r="A342" s="58"/>
      <c r="C342" s="49"/>
      <c r="D342" s="58"/>
      <c r="F342" s="49"/>
      <c r="G342" s="58"/>
      <c r="I342" s="49"/>
      <c r="J342" s="58"/>
      <c r="L342" s="49"/>
      <c r="M342" s="58"/>
      <c r="O342" s="49"/>
    </row>
    <row r="343" ht="15.75" customHeight="1">
      <c r="A343" s="58"/>
      <c r="C343" s="49"/>
      <c r="D343" s="58"/>
      <c r="F343" s="49"/>
      <c r="G343" s="58"/>
      <c r="I343" s="49"/>
      <c r="J343" s="58"/>
      <c r="L343" s="49"/>
      <c r="M343" s="58"/>
      <c r="O343" s="49"/>
    </row>
    <row r="344" ht="15.75" customHeight="1">
      <c r="A344" s="58"/>
      <c r="C344" s="49"/>
      <c r="D344" s="58"/>
      <c r="F344" s="49"/>
      <c r="G344" s="58"/>
      <c r="I344" s="49"/>
      <c r="J344" s="58"/>
      <c r="L344" s="49"/>
      <c r="M344" s="58"/>
      <c r="O344" s="49"/>
    </row>
    <row r="345" ht="15.75" customHeight="1">
      <c r="A345" s="58"/>
      <c r="C345" s="49"/>
      <c r="D345" s="58"/>
      <c r="F345" s="49"/>
      <c r="G345" s="58"/>
      <c r="I345" s="49"/>
      <c r="J345" s="58"/>
      <c r="L345" s="49"/>
      <c r="M345" s="58"/>
      <c r="O345" s="49"/>
    </row>
    <row r="346" ht="15.75" customHeight="1">
      <c r="A346" s="58"/>
      <c r="C346" s="49"/>
      <c r="D346" s="58"/>
      <c r="F346" s="49"/>
      <c r="G346" s="58"/>
      <c r="I346" s="49"/>
      <c r="J346" s="58"/>
      <c r="L346" s="49"/>
      <c r="M346" s="58"/>
      <c r="O346" s="49"/>
    </row>
    <row r="347" ht="15.75" customHeight="1">
      <c r="A347" s="58"/>
      <c r="C347" s="49"/>
      <c r="D347" s="58"/>
      <c r="F347" s="49"/>
      <c r="G347" s="58"/>
      <c r="I347" s="49"/>
      <c r="J347" s="58"/>
      <c r="L347" s="49"/>
      <c r="M347" s="58"/>
      <c r="O347" s="49"/>
    </row>
    <row r="348" ht="15.75" customHeight="1">
      <c r="A348" s="58"/>
      <c r="C348" s="49"/>
      <c r="D348" s="58"/>
      <c r="F348" s="49"/>
      <c r="G348" s="58"/>
      <c r="I348" s="49"/>
      <c r="J348" s="58"/>
      <c r="L348" s="49"/>
      <c r="M348" s="58"/>
      <c r="O348" s="49"/>
    </row>
    <row r="349" ht="15.75" customHeight="1">
      <c r="A349" s="58"/>
      <c r="C349" s="49"/>
      <c r="D349" s="58"/>
      <c r="F349" s="49"/>
      <c r="G349" s="58"/>
      <c r="I349" s="49"/>
      <c r="J349" s="58"/>
      <c r="L349" s="49"/>
      <c r="M349" s="58"/>
      <c r="O349" s="49"/>
    </row>
    <row r="350" ht="15.75" customHeight="1">
      <c r="A350" s="58"/>
      <c r="C350" s="49"/>
      <c r="D350" s="58"/>
      <c r="F350" s="49"/>
      <c r="G350" s="58"/>
      <c r="I350" s="49"/>
      <c r="J350" s="58"/>
      <c r="L350" s="49"/>
      <c r="M350" s="58"/>
      <c r="O350" s="49"/>
    </row>
    <row r="351" ht="15.75" customHeight="1">
      <c r="A351" s="58"/>
      <c r="C351" s="49"/>
      <c r="D351" s="58"/>
      <c r="F351" s="49"/>
      <c r="G351" s="58"/>
      <c r="I351" s="49"/>
      <c r="J351" s="58"/>
      <c r="L351" s="49"/>
      <c r="M351" s="58"/>
      <c r="O351" s="49"/>
    </row>
    <row r="352" ht="15.75" customHeight="1">
      <c r="A352" s="58"/>
      <c r="C352" s="49"/>
      <c r="D352" s="58"/>
      <c r="F352" s="49"/>
      <c r="G352" s="58"/>
      <c r="I352" s="49"/>
      <c r="J352" s="58"/>
      <c r="L352" s="49"/>
      <c r="M352" s="58"/>
      <c r="O352" s="49"/>
    </row>
    <row r="353" ht="15.75" customHeight="1">
      <c r="A353" s="58"/>
      <c r="C353" s="49"/>
      <c r="D353" s="58"/>
      <c r="F353" s="49"/>
      <c r="G353" s="58"/>
      <c r="I353" s="49"/>
      <c r="J353" s="58"/>
      <c r="L353" s="49"/>
      <c r="M353" s="58"/>
      <c r="O353" s="49"/>
    </row>
    <row r="354" ht="15.75" customHeight="1">
      <c r="A354" s="58"/>
      <c r="C354" s="49"/>
      <c r="D354" s="58"/>
      <c r="F354" s="49"/>
      <c r="G354" s="58"/>
      <c r="I354" s="49"/>
      <c r="J354" s="58"/>
      <c r="L354" s="49"/>
      <c r="M354" s="58"/>
      <c r="O354" s="49"/>
    </row>
    <row r="355" ht="15.75" customHeight="1">
      <c r="A355" s="58"/>
      <c r="C355" s="49"/>
      <c r="D355" s="58"/>
      <c r="F355" s="49"/>
      <c r="G355" s="58"/>
      <c r="I355" s="49"/>
      <c r="J355" s="58"/>
      <c r="L355" s="49"/>
      <c r="M355" s="58"/>
      <c r="O355" s="49"/>
    </row>
    <row r="356" ht="15.75" customHeight="1">
      <c r="A356" s="58"/>
      <c r="C356" s="49"/>
      <c r="D356" s="58"/>
      <c r="F356" s="49"/>
      <c r="G356" s="58"/>
      <c r="I356" s="49"/>
      <c r="J356" s="58"/>
      <c r="L356" s="49"/>
      <c r="M356" s="58"/>
      <c r="O356" s="49"/>
    </row>
    <row r="357" ht="15.75" customHeight="1">
      <c r="A357" s="58"/>
      <c r="C357" s="49"/>
      <c r="D357" s="58"/>
      <c r="F357" s="49"/>
      <c r="G357" s="58"/>
      <c r="I357" s="49"/>
      <c r="J357" s="58"/>
      <c r="L357" s="49"/>
      <c r="M357" s="58"/>
      <c r="O357" s="49"/>
    </row>
    <row r="358" ht="15.75" customHeight="1">
      <c r="A358" s="58"/>
      <c r="C358" s="49"/>
      <c r="D358" s="58"/>
      <c r="F358" s="49"/>
      <c r="G358" s="58"/>
      <c r="I358" s="49"/>
      <c r="J358" s="58"/>
      <c r="L358" s="49"/>
      <c r="M358" s="58"/>
      <c r="O358" s="49"/>
    </row>
    <row r="359" ht="15.75" customHeight="1">
      <c r="A359" s="58"/>
      <c r="C359" s="49"/>
      <c r="D359" s="58"/>
      <c r="F359" s="49"/>
      <c r="G359" s="58"/>
      <c r="I359" s="49"/>
      <c r="J359" s="58"/>
      <c r="L359" s="49"/>
      <c r="M359" s="58"/>
      <c r="O359" s="49"/>
    </row>
    <row r="360" ht="15.75" customHeight="1">
      <c r="A360" s="58"/>
      <c r="C360" s="49"/>
      <c r="D360" s="58"/>
      <c r="F360" s="49"/>
      <c r="G360" s="58"/>
      <c r="I360" s="49"/>
      <c r="J360" s="58"/>
      <c r="L360" s="49"/>
      <c r="M360" s="58"/>
      <c r="O360" s="49"/>
    </row>
    <row r="361" ht="15.75" customHeight="1">
      <c r="A361" s="58"/>
      <c r="C361" s="49"/>
      <c r="D361" s="58"/>
      <c r="F361" s="49"/>
      <c r="G361" s="58"/>
      <c r="I361" s="49"/>
      <c r="J361" s="58"/>
      <c r="L361" s="49"/>
      <c r="M361" s="58"/>
      <c r="O361" s="49"/>
    </row>
    <row r="362" ht="15.75" customHeight="1">
      <c r="A362" s="58"/>
      <c r="C362" s="49"/>
      <c r="D362" s="58"/>
      <c r="F362" s="49"/>
      <c r="G362" s="58"/>
      <c r="I362" s="49"/>
      <c r="J362" s="58"/>
      <c r="L362" s="49"/>
      <c r="M362" s="58"/>
      <c r="O362" s="49"/>
    </row>
    <row r="363" ht="15.75" customHeight="1">
      <c r="A363" s="58"/>
      <c r="C363" s="49"/>
      <c r="D363" s="58"/>
      <c r="F363" s="49"/>
      <c r="G363" s="58"/>
      <c r="I363" s="49"/>
      <c r="J363" s="58"/>
      <c r="L363" s="49"/>
      <c r="M363" s="58"/>
      <c r="O363" s="49"/>
    </row>
    <row r="364" ht="15.75" customHeight="1">
      <c r="A364" s="58"/>
      <c r="C364" s="49"/>
      <c r="D364" s="58"/>
      <c r="F364" s="49"/>
      <c r="G364" s="58"/>
      <c r="I364" s="49"/>
      <c r="J364" s="58"/>
      <c r="L364" s="49"/>
      <c r="M364" s="58"/>
      <c r="O364" s="49"/>
    </row>
    <row r="365" ht="15.75" customHeight="1">
      <c r="A365" s="58"/>
      <c r="C365" s="49"/>
      <c r="D365" s="58"/>
      <c r="F365" s="49"/>
      <c r="G365" s="58"/>
      <c r="I365" s="49"/>
      <c r="J365" s="58"/>
      <c r="L365" s="49"/>
      <c r="M365" s="58"/>
      <c r="O365" s="49"/>
    </row>
    <row r="366" ht="15.75" customHeight="1">
      <c r="A366" s="58"/>
      <c r="C366" s="49"/>
      <c r="D366" s="58"/>
      <c r="F366" s="49"/>
      <c r="G366" s="58"/>
      <c r="I366" s="49"/>
      <c r="J366" s="58"/>
      <c r="L366" s="49"/>
      <c r="M366" s="58"/>
      <c r="O366" s="49"/>
    </row>
    <row r="367" ht="15.75" customHeight="1">
      <c r="A367" s="58"/>
      <c r="C367" s="49"/>
      <c r="D367" s="58"/>
      <c r="F367" s="49"/>
      <c r="G367" s="58"/>
      <c r="I367" s="49"/>
      <c r="J367" s="58"/>
      <c r="L367" s="49"/>
      <c r="M367" s="58"/>
      <c r="O367" s="49"/>
    </row>
    <row r="368" ht="15.75" customHeight="1">
      <c r="A368" s="58"/>
      <c r="C368" s="49"/>
      <c r="D368" s="58"/>
      <c r="F368" s="49"/>
      <c r="G368" s="58"/>
      <c r="I368" s="49"/>
      <c r="J368" s="58"/>
      <c r="L368" s="49"/>
      <c r="M368" s="58"/>
      <c r="O368" s="49"/>
    </row>
    <row r="369" ht="15.75" customHeight="1">
      <c r="A369" s="58"/>
      <c r="C369" s="49"/>
      <c r="D369" s="58"/>
      <c r="F369" s="49"/>
      <c r="G369" s="58"/>
      <c r="I369" s="49"/>
      <c r="J369" s="58"/>
      <c r="L369" s="49"/>
      <c r="M369" s="58"/>
      <c r="O369" s="49"/>
    </row>
    <row r="370" ht="15.75" customHeight="1">
      <c r="A370" s="58"/>
      <c r="C370" s="49"/>
      <c r="D370" s="58"/>
      <c r="F370" s="49"/>
      <c r="G370" s="58"/>
      <c r="I370" s="49"/>
      <c r="J370" s="58"/>
      <c r="L370" s="49"/>
      <c r="M370" s="58"/>
      <c r="O370" s="49"/>
    </row>
    <row r="371" ht="15.75" customHeight="1">
      <c r="A371" s="58"/>
      <c r="C371" s="49"/>
      <c r="D371" s="58"/>
      <c r="F371" s="49"/>
      <c r="G371" s="58"/>
      <c r="I371" s="49"/>
      <c r="J371" s="58"/>
      <c r="L371" s="49"/>
      <c r="M371" s="58"/>
      <c r="O371" s="49"/>
    </row>
    <row r="372" ht="15.75" customHeight="1">
      <c r="A372" s="58"/>
      <c r="C372" s="49"/>
      <c r="D372" s="58"/>
      <c r="F372" s="49"/>
      <c r="G372" s="58"/>
      <c r="I372" s="49"/>
      <c r="J372" s="58"/>
      <c r="L372" s="49"/>
      <c r="M372" s="58"/>
      <c r="O372" s="49"/>
    </row>
    <row r="373" ht="15.75" customHeight="1">
      <c r="A373" s="58"/>
      <c r="C373" s="49"/>
      <c r="D373" s="58"/>
      <c r="F373" s="49"/>
      <c r="G373" s="58"/>
      <c r="I373" s="49"/>
      <c r="J373" s="58"/>
      <c r="L373" s="49"/>
      <c r="M373" s="58"/>
      <c r="O373" s="49"/>
    </row>
    <row r="374" ht="15.75" customHeight="1">
      <c r="A374" s="58"/>
      <c r="C374" s="49"/>
      <c r="D374" s="58"/>
      <c r="F374" s="49"/>
      <c r="G374" s="58"/>
      <c r="I374" s="49"/>
      <c r="J374" s="58"/>
      <c r="L374" s="49"/>
      <c r="M374" s="58"/>
      <c r="O374" s="49"/>
    </row>
    <row r="375" ht="15.75" customHeight="1">
      <c r="A375" s="58"/>
      <c r="C375" s="49"/>
      <c r="D375" s="58"/>
      <c r="F375" s="49"/>
      <c r="G375" s="58"/>
      <c r="I375" s="49"/>
      <c r="J375" s="58"/>
      <c r="L375" s="49"/>
      <c r="M375" s="58"/>
      <c r="O375" s="49"/>
    </row>
    <row r="376" ht="15.75" customHeight="1">
      <c r="A376" s="58"/>
      <c r="C376" s="49"/>
      <c r="D376" s="58"/>
      <c r="F376" s="49"/>
      <c r="G376" s="58"/>
      <c r="I376" s="49"/>
      <c r="J376" s="58"/>
      <c r="L376" s="49"/>
      <c r="M376" s="58"/>
      <c r="O376" s="49"/>
    </row>
    <row r="377" ht="15.75" customHeight="1">
      <c r="A377" s="58"/>
      <c r="C377" s="49"/>
      <c r="D377" s="58"/>
      <c r="F377" s="49"/>
      <c r="G377" s="58"/>
      <c r="I377" s="49"/>
      <c r="J377" s="58"/>
      <c r="L377" s="49"/>
      <c r="M377" s="58"/>
      <c r="O377" s="49"/>
    </row>
    <row r="378" ht="15.75" customHeight="1">
      <c r="A378" s="58"/>
      <c r="C378" s="49"/>
      <c r="D378" s="58"/>
      <c r="F378" s="49"/>
      <c r="G378" s="58"/>
      <c r="I378" s="49"/>
      <c r="J378" s="58"/>
      <c r="L378" s="49"/>
      <c r="M378" s="58"/>
      <c r="O378" s="49"/>
    </row>
    <row r="379" ht="15.75" customHeight="1">
      <c r="A379" s="58"/>
      <c r="C379" s="49"/>
      <c r="D379" s="58"/>
      <c r="F379" s="49"/>
      <c r="G379" s="58"/>
      <c r="I379" s="49"/>
      <c r="J379" s="58"/>
      <c r="L379" s="49"/>
      <c r="M379" s="58"/>
      <c r="O379" s="49"/>
    </row>
    <row r="380" ht="15.75" customHeight="1">
      <c r="A380" s="58"/>
      <c r="C380" s="49"/>
      <c r="D380" s="58"/>
      <c r="F380" s="49"/>
      <c r="G380" s="58"/>
      <c r="I380" s="49"/>
      <c r="J380" s="58"/>
      <c r="L380" s="49"/>
      <c r="M380" s="58"/>
      <c r="O380" s="49"/>
    </row>
    <row r="381" ht="15.75" customHeight="1">
      <c r="A381" s="58"/>
      <c r="C381" s="49"/>
      <c r="D381" s="58"/>
      <c r="F381" s="49"/>
      <c r="G381" s="58"/>
      <c r="I381" s="49"/>
      <c r="J381" s="58"/>
      <c r="L381" s="49"/>
      <c r="M381" s="58"/>
      <c r="O381" s="49"/>
    </row>
    <row r="382" ht="15.75" customHeight="1">
      <c r="A382" s="58"/>
      <c r="C382" s="49"/>
      <c r="D382" s="58"/>
      <c r="F382" s="49"/>
      <c r="G382" s="58"/>
      <c r="I382" s="49"/>
      <c r="J382" s="58"/>
      <c r="L382" s="49"/>
      <c r="M382" s="58"/>
      <c r="O382" s="49"/>
    </row>
    <row r="383" ht="15.75" customHeight="1">
      <c r="A383" s="58"/>
      <c r="C383" s="49"/>
      <c r="D383" s="58"/>
      <c r="F383" s="49"/>
      <c r="G383" s="58"/>
      <c r="I383" s="49"/>
      <c r="J383" s="58"/>
      <c r="L383" s="49"/>
      <c r="M383" s="58"/>
      <c r="O383" s="49"/>
    </row>
    <row r="384" ht="15.75" customHeight="1">
      <c r="A384" s="58"/>
      <c r="C384" s="49"/>
      <c r="D384" s="58"/>
      <c r="F384" s="49"/>
      <c r="G384" s="58"/>
      <c r="I384" s="49"/>
      <c r="J384" s="58"/>
      <c r="L384" s="49"/>
      <c r="M384" s="58"/>
      <c r="O384" s="49"/>
    </row>
    <row r="385" ht="15.75" customHeight="1">
      <c r="A385" s="58"/>
      <c r="C385" s="49"/>
      <c r="D385" s="58"/>
      <c r="F385" s="49"/>
      <c r="G385" s="58"/>
      <c r="I385" s="49"/>
      <c r="J385" s="58"/>
      <c r="L385" s="49"/>
      <c r="M385" s="58"/>
      <c r="O385" s="49"/>
    </row>
    <row r="386" ht="15.75" customHeight="1">
      <c r="A386" s="58"/>
      <c r="C386" s="49"/>
      <c r="D386" s="58"/>
      <c r="F386" s="49"/>
      <c r="G386" s="58"/>
      <c r="I386" s="49"/>
      <c r="J386" s="58"/>
      <c r="L386" s="49"/>
      <c r="M386" s="58"/>
      <c r="O386" s="49"/>
    </row>
    <row r="387" ht="15.75" customHeight="1">
      <c r="A387" s="58"/>
      <c r="C387" s="49"/>
      <c r="D387" s="58"/>
      <c r="F387" s="49"/>
      <c r="G387" s="58"/>
      <c r="I387" s="49"/>
      <c r="J387" s="58"/>
      <c r="L387" s="49"/>
      <c r="M387" s="58"/>
      <c r="O387" s="49"/>
    </row>
    <row r="388" ht="15.75" customHeight="1">
      <c r="A388" s="58"/>
      <c r="C388" s="49"/>
      <c r="D388" s="58"/>
      <c r="F388" s="49"/>
      <c r="G388" s="58"/>
      <c r="I388" s="49"/>
      <c r="J388" s="58"/>
      <c r="L388" s="49"/>
      <c r="M388" s="58"/>
      <c r="O388" s="49"/>
    </row>
    <row r="389" ht="15.75" customHeight="1">
      <c r="A389" s="58"/>
      <c r="C389" s="49"/>
      <c r="D389" s="58"/>
      <c r="F389" s="49"/>
      <c r="G389" s="58"/>
      <c r="I389" s="49"/>
      <c r="J389" s="58"/>
      <c r="L389" s="49"/>
      <c r="M389" s="58"/>
      <c r="O389" s="49"/>
    </row>
    <row r="390" ht="15.75" customHeight="1">
      <c r="A390" s="58"/>
      <c r="C390" s="49"/>
      <c r="D390" s="58"/>
      <c r="F390" s="49"/>
      <c r="G390" s="58"/>
      <c r="I390" s="49"/>
      <c r="J390" s="58"/>
      <c r="L390" s="49"/>
      <c r="M390" s="58"/>
      <c r="O390" s="49"/>
    </row>
    <row r="391" ht="15.75" customHeight="1">
      <c r="A391" s="58"/>
      <c r="C391" s="49"/>
      <c r="D391" s="58"/>
      <c r="F391" s="49"/>
      <c r="G391" s="58"/>
      <c r="I391" s="49"/>
      <c r="J391" s="58"/>
      <c r="L391" s="49"/>
      <c r="M391" s="58"/>
      <c r="O391" s="49"/>
    </row>
    <row r="392" ht="15.75" customHeight="1">
      <c r="A392" s="58"/>
      <c r="C392" s="49"/>
      <c r="D392" s="58"/>
      <c r="F392" s="49"/>
      <c r="G392" s="58"/>
      <c r="I392" s="49"/>
      <c r="J392" s="58"/>
      <c r="L392" s="49"/>
      <c r="M392" s="58"/>
      <c r="O392" s="49"/>
    </row>
    <row r="393" ht="15.75" customHeight="1">
      <c r="A393" s="58"/>
      <c r="C393" s="49"/>
      <c r="D393" s="58"/>
      <c r="F393" s="49"/>
      <c r="G393" s="58"/>
      <c r="I393" s="49"/>
      <c r="J393" s="58"/>
      <c r="L393" s="49"/>
      <c r="M393" s="58"/>
      <c r="O393" s="49"/>
    </row>
    <row r="394" ht="15.75" customHeight="1">
      <c r="A394" s="58"/>
      <c r="C394" s="49"/>
      <c r="D394" s="58"/>
      <c r="F394" s="49"/>
      <c r="G394" s="58"/>
      <c r="I394" s="49"/>
      <c r="J394" s="58"/>
      <c r="L394" s="49"/>
      <c r="M394" s="58"/>
      <c r="O394" s="49"/>
    </row>
    <row r="395" ht="15.75" customHeight="1">
      <c r="A395" s="58"/>
      <c r="C395" s="49"/>
      <c r="D395" s="58"/>
      <c r="F395" s="49"/>
      <c r="G395" s="58"/>
      <c r="I395" s="49"/>
      <c r="J395" s="58"/>
      <c r="L395" s="49"/>
      <c r="M395" s="58"/>
      <c r="O395" s="49"/>
    </row>
    <row r="396" ht="15.75" customHeight="1">
      <c r="A396" s="58"/>
      <c r="C396" s="49"/>
      <c r="D396" s="58"/>
      <c r="F396" s="49"/>
      <c r="G396" s="58"/>
      <c r="I396" s="49"/>
      <c r="J396" s="58"/>
      <c r="L396" s="49"/>
      <c r="M396" s="58"/>
      <c r="O396" s="49"/>
    </row>
    <row r="397" ht="15.75" customHeight="1">
      <c r="A397" s="58"/>
      <c r="C397" s="49"/>
      <c r="D397" s="58"/>
      <c r="F397" s="49"/>
      <c r="G397" s="58"/>
      <c r="I397" s="49"/>
      <c r="J397" s="58"/>
      <c r="L397" s="49"/>
      <c r="M397" s="58"/>
      <c r="O397" s="49"/>
    </row>
    <row r="398" ht="15.75" customHeight="1">
      <c r="A398" s="58"/>
      <c r="C398" s="49"/>
      <c r="D398" s="58"/>
      <c r="F398" s="49"/>
      <c r="G398" s="58"/>
      <c r="I398" s="49"/>
      <c r="J398" s="58"/>
      <c r="L398" s="49"/>
      <c r="M398" s="58"/>
      <c r="O398" s="49"/>
    </row>
    <row r="399" ht="15.75" customHeight="1">
      <c r="A399" s="58"/>
      <c r="C399" s="49"/>
      <c r="D399" s="58"/>
      <c r="F399" s="49"/>
      <c r="G399" s="58"/>
      <c r="I399" s="49"/>
      <c r="J399" s="58"/>
      <c r="L399" s="49"/>
      <c r="M399" s="58"/>
      <c r="O399" s="49"/>
    </row>
    <row r="400" ht="15.75" customHeight="1">
      <c r="A400" s="58"/>
      <c r="C400" s="49"/>
      <c r="D400" s="58"/>
      <c r="F400" s="49"/>
      <c r="G400" s="58"/>
      <c r="I400" s="49"/>
      <c r="J400" s="58"/>
      <c r="L400" s="49"/>
      <c r="M400" s="58"/>
      <c r="O400" s="49"/>
    </row>
    <row r="401" ht="15.75" customHeight="1">
      <c r="A401" s="58"/>
      <c r="C401" s="49"/>
      <c r="D401" s="58"/>
      <c r="F401" s="49"/>
      <c r="G401" s="58"/>
      <c r="I401" s="49"/>
      <c r="J401" s="58"/>
      <c r="L401" s="49"/>
      <c r="M401" s="58"/>
      <c r="O401" s="49"/>
    </row>
    <row r="402" ht="15.75" customHeight="1">
      <c r="A402" s="58"/>
      <c r="C402" s="49"/>
      <c r="D402" s="58"/>
      <c r="F402" s="49"/>
      <c r="G402" s="58"/>
      <c r="I402" s="49"/>
      <c r="J402" s="58"/>
      <c r="L402" s="49"/>
      <c r="M402" s="58"/>
      <c r="O402" s="49"/>
    </row>
    <row r="403" ht="15.75" customHeight="1">
      <c r="A403" s="58"/>
      <c r="C403" s="49"/>
      <c r="D403" s="58"/>
      <c r="F403" s="49"/>
      <c r="G403" s="58"/>
      <c r="I403" s="49"/>
      <c r="J403" s="58"/>
      <c r="L403" s="49"/>
      <c r="M403" s="58"/>
      <c r="O403" s="49"/>
    </row>
    <row r="404" ht="15.75" customHeight="1">
      <c r="A404" s="58"/>
      <c r="C404" s="49"/>
      <c r="D404" s="58"/>
      <c r="F404" s="49"/>
      <c r="G404" s="58"/>
      <c r="I404" s="49"/>
      <c r="J404" s="58"/>
      <c r="L404" s="49"/>
      <c r="M404" s="58"/>
      <c r="O404" s="49"/>
    </row>
    <row r="405" ht="15.75" customHeight="1">
      <c r="A405" s="58"/>
      <c r="C405" s="49"/>
      <c r="D405" s="58"/>
      <c r="F405" s="49"/>
      <c r="G405" s="58"/>
      <c r="I405" s="49"/>
      <c r="J405" s="58"/>
      <c r="L405" s="49"/>
      <c r="M405" s="58"/>
      <c r="O405" s="49"/>
    </row>
    <row r="406" ht="15.75" customHeight="1">
      <c r="A406" s="58"/>
      <c r="C406" s="49"/>
      <c r="D406" s="58"/>
      <c r="F406" s="49"/>
      <c r="G406" s="58"/>
      <c r="I406" s="49"/>
      <c r="J406" s="58"/>
      <c r="L406" s="49"/>
      <c r="M406" s="58"/>
      <c r="O406" s="49"/>
    </row>
    <row r="407" ht="15.75" customHeight="1">
      <c r="A407" s="58"/>
      <c r="C407" s="49"/>
      <c r="D407" s="58"/>
      <c r="F407" s="49"/>
      <c r="G407" s="58"/>
      <c r="I407" s="49"/>
      <c r="J407" s="58"/>
      <c r="L407" s="49"/>
      <c r="M407" s="58"/>
      <c r="O407" s="49"/>
    </row>
    <row r="408" ht="15.75" customHeight="1">
      <c r="A408" s="58"/>
      <c r="C408" s="49"/>
      <c r="D408" s="58"/>
      <c r="F408" s="49"/>
      <c r="G408" s="58"/>
      <c r="I408" s="49"/>
      <c r="J408" s="58"/>
      <c r="L408" s="49"/>
      <c r="M408" s="58"/>
      <c r="O408" s="49"/>
    </row>
    <row r="409" ht="15.75" customHeight="1">
      <c r="A409" s="58"/>
      <c r="C409" s="49"/>
      <c r="D409" s="58"/>
      <c r="F409" s="49"/>
      <c r="G409" s="58"/>
      <c r="I409" s="49"/>
      <c r="J409" s="58"/>
      <c r="L409" s="49"/>
      <c r="M409" s="58"/>
      <c r="O409" s="49"/>
    </row>
    <row r="410" ht="15.75" customHeight="1">
      <c r="A410" s="58"/>
      <c r="C410" s="49"/>
      <c r="D410" s="58"/>
      <c r="F410" s="49"/>
      <c r="G410" s="58"/>
      <c r="I410" s="49"/>
      <c r="J410" s="58"/>
      <c r="L410" s="49"/>
      <c r="M410" s="58"/>
      <c r="O410" s="49"/>
    </row>
    <row r="411" ht="15.75" customHeight="1">
      <c r="A411" s="58"/>
      <c r="C411" s="49"/>
      <c r="D411" s="58"/>
      <c r="F411" s="49"/>
      <c r="G411" s="58"/>
      <c r="I411" s="49"/>
      <c r="J411" s="58"/>
      <c r="L411" s="49"/>
      <c r="M411" s="58"/>
      <c r="O411" s="49"/>
    </row>
    <row r="412" ht="15.75" customHeight="1">
      <c r="A412" s="58"/>
      <c r="C412" s="49"/>
      <c r="D412" s="58"/>
      <c r="F412" s="49"/>
      <c r="G412" s="58"/>
      <c r="I412" s="49"/>
      <c r="J412" s="58"/>
      <c r="L412" s="49"/>
      <c r="M412" s="58"/>
      <c r="O412" s="49"/>
    </row>
    <row r="413" ht="15.75" customHeight="1">
      <c r="A413" s="58"/>
      <c r="C413" s="49"/>
      <c r="D413" s="58"/>
      <c r="F413" s="49"/>
      <c r="G413" s="58"/>
      <c r="I413" s="49"/>
      <c r="J413" s="58"/>
      <c r="L413" s="49"/>
      <c r="M413" s="58"/>
      <c r="O413" s="49"/>
    </row>
    <row r="414" ht="15.75" customHeight="1">
      <c r="A414" s="58"/>
      <c r="C414" s="49"/>
      <c r="D414" s="58"/>
      <c r="F414" s="49"/>
      <c r="G414" s="58"/>
      <c r="I414" s="49"/>
      <c r="J414" s="58"/>
      <c r="L414" s="49"/>
      <c r="M414" s="58"/>
      <c r="O414" s="49"/>
    </row>
    <row r="415" ht="15.75" customHeight="1">
      <c r="A415" s="58"/>
      <c r="C415" s="49"/>
      <c r="D415" s="58"/>
      <c r="F415" s="49"/>
      <c r="G415" s="58"/>
      <c r="I415" s="49"/>
      <c r="J415" s="58"/>
      <c r="L415" s="49"/>
      <c r="M415" s="58"/>
      <c r="O415" s="49"/>
    </row>
    <row r="416" ht="15.75" customHeight="1">
      <c r="A416" s="58"/>
      <c r="C416" s="49"/>
      <c r="D416" s="58"/>
      <c r="F416" s="49"/>
      <c r="G416" s="58"/>
      <c r="I416" s="49"/>
      <c r="J416" s="58"/>
      <c r="L416" s="49"/>
      <c r="M416" s="58"/>
      <c r="O416" s="49"/>
    </row>
    <row r="417" ht="15.75" customHeight="1">
      <c r="A417" s="58"/>
      <c r="C417" s="49"/>
      <c r="D417" s="58"/>
      <c r="F417" s="49"/>
      <c r="G417" s="58"/>
      <c r="I417" s="49"/>
      <c r="J417" s="58"/>
      <c r="L417" s="49"/>
      <c r="M417" s="58"/>
      <c r="O417" s="49"/>
    </row>
    <row r="418" ht="15.75" customHeight="1">
      <c r="A418" s="58"/>
      <c r="C418" s="49"/>
      <c r="D418" s="58"/>
      <c r="F418" s="49"/>
      <c r="G418" s="58"/>
      <c r="I418" s="49"/>
      <c r="J418" s="58"/>
      <c r="L418" s="49"/>
      <c r="M418" s="58"/>
      <c r="O418" s="49"/>
    </row>
    <row r="419" ht="15.75" customHeight="1">
      <c r="A419" s="58"/>
      <c r="C419" s="49"/>
      <c r="D419" s="58"/>
      <c r="F419" s="49"/>
      <c r="G419" s="58"/>
      <c r="I419" s="49"/>
      <c r="J419" s="58"/>
      <c r="L419" s="49"/>
      <c r="M419" s="58"/>
      <c r="O419" s="49"/>
    </row>
    <row r="420" ht="15.75" customHeight="1">
      <c r="A420" s="58"/>
      <c r="C420" s="49"/>
      <c r="D420" s="58"/>
      <c r="F420" s="49"/>
      <c r="G420" s="58"/>
      <c r="I420" s="49"/>
      <c r="J420" s="58"/>
      <c r="L420" s="49"/>
      <c r="M420" s="58"/>
      <c r="O420" s="49"/>
    </row>
    <row r="421" ht="15.75" customHeight="1">
      <c r="A421" s="58"/>
      <c r="C421" s="49"/>
      <c r="D421" s="58"/>
      <c r="F421" s="49"/>
      <c r="G421" s="58"/>
      <c r="I421" s="49"/>
      <c r="J421" s="58"/>
      <c r="L421" s="49"/>
      <c r="M421" s="58"/>
      <c r="O421" s="49"/>
    </row>
    <row r="422" ht="15.75" customHeight="1">
      <c r="A422" s="58"/>
      <c r="C422" s="49"/>
      <c r="D422" s="58"/>
      <c r="F422" s="49"/>
      <c r="G422" s="58"/>
      <c r="I422" s="49"/>
      <c r="J422" s="58"/>
      <c r="L422" s="49"/>
      <c r="M422" s="58"/>
      <c r="O422" s="49"/>
    </row>
    <row r="423" ht="15.75" customHeight="1">
      <c r="A423" s="58"/>
      <c r="C423" s="49"/>
      <c r="D423" s="58"/>
      <c r="F423" s="49"/>
      <c r="G423" s="58"/>
      <c r="I423" s="49"/>
      <c r="J423" s="58"/>
      <c r="L423" s="49"/>
      <c r="M423" s="58"/>
      <c r="O423" s="49"/>
    </row>
    <row r="424" ht="15.75" customHeight="1">
      <c r="A424" s="58"/>
      <c r="C424" s="49"/>
      <c r="D424" s="58"/>
      <c r="F424" s="49"/>
      <c r="G424" s="58"/>
      <c r="I424" s="49"/>
      <c r="J424" s="58"/>
      <c r="L424" s="49"/>
      <c r="M424" s="58"/>
      <c r="O424" s="49"/>
    </row>
    <row r="425" ht="15.75" customHeight="1">
      <c r="A425" s="58"/>
      <c r="C425" s="49"/>
      <c r="D425" s="58"/>
      <c r="F425" s="49"/>
      <c r="G425" s="58"/>
      <c r="I425" s="49"/>
      <c r="J425" s="58"/>
      <c r="L425" s="49"/>
      <c r="M425" s="58"/>
      <c r="O425" s="49"/>
    </row>
    <row r="426" ht="15.75" customHeight="1">
      <c r="A426" s="58"/>
      <c r="C426" s="49"/>
      <c r="D426" s="58"/>
      <c r="F426" s="49"/>
      <c r="G426" s="58"/>
      <c r="I426" s="49"/>
      <c r="J426" s="58"/>
      <c r="L426" s="49"/>
      <c r="M426" s="58"/>
      <c r="O426" s="49"/>
    </row>
    <row r="427" ht="15.75" customHeight="1">
      <c r="A427" s="58"/>
      <c r="C427" s="49"/>
      <c r="D427" s="58"/>
      <c r="F427" s="49"/>
      <c r="G427" s="58"/>
      <c r="I427" s="49"/>
      <c r="J427" s="58"/>
      <c r="L427" s="49"/>
      <c r="M427" s="58"/>
      <c r="O427" s="49"/>
    </row>
    <row r="428" ht="15.75" customHeight="1">
      <c r="A428" s="58"/>
      <c r="C428" s="49"/>
      <c r="D428" s="58"/>
      <c r="F428" s="49"/>
      <c r="G428" s="58"/>
      <c r="I428" s="49"/>
      <c r="J428" s="58"/>
      <c r="L428" s="49"/>
      <c r="M428" s="58"/>
      <c r="O428" s="49"/>
    </row>
    <row r="429" ht="15.75" customHeight="1">
      <c r="A429" s="58"/>
      <c r="C429" s="49"/>
      <c r="D429" s="58"/>
      <c r="F429" s="49"/>
      <c r="G429" s="58"/>
      <c r="I429" s="49"/>
      <c r="J429" s="58"/>
      <c r="L429" s="49"/>
      <c r="M429" s="58"/>
      <c r="O429" s="49"/>
    </row>
    <row r="430" ht="15.75" customHeight="1">
      <c r="A430" s="58"/>
      <c r="C430" s="49"/>
      <c r="D430" s="58"/>
      <c r="F430" s="49"/>
      <c r="G430" s="58"/>
      <c r="I430" s="49"/>
      <c r="J430" s="58"/>
      <c r="L430" s="49"/>
      <c r="M430" s="58"/>
      <c r="O430" s="49"/>
    </row>
    <row r="431" ht="15.75" customHeight="1">
      <c r="A431" s="58"/>
      <c r="C431" s="49"/>
      <c r="D431" s="58"/>
      <c r="F431" s="49"/>
      <c r="G431" s="58"/>
      <c r="I431" s="49"/>
      <c r="J431" s="58"/>
      <c r="L431" s="49"/>
      <c r="M431" s="58"/>
      <c r="O431" s="49"/>
    </row>
    <row r="432" ht="15.75" customHeight="1">
      <c r="A432" s="58"/>
      <c r="C432" s="49"/>
      <c r="D432" s="58"/>
      <c r="F432" s="49"/>
      <c r="G432" s="58"/>
      <c r="I432" s="49"/>
      <c r="J432" s="58"/>
      <c r="L432" s="49"/>
      <c r="M432" s="58"/>
      <c r="O432" s="49"/>
    </row>
    <row r="433" ht="15.75" customHeight="1">
      <c r="A433" s="58"/>
      <c r="C433" s="49"/>
      <c r="D433" s="58"/>
      <c r="F433" s="49"/>
      <c r="G433" s="58"/>
      <c r="I433" s="49"/>
      <c r="J433" s="58"/>
      <c r="L433" s="49"/>
      <c r="M433" s="58"/>
      <c r="O433" s="49"/>
    </row>
    <row r="434" ht="15.75" customHeight="1">
      <c r="A434" s="58"/>
      <c r="C434" s="49"/>
      <c r="D434" s="58"/>
      <c r="F434" s="49"/>
      <c r="G434" s="58"/>
      <c r="I434" s="49"/>
      <c r="J434" s="58"/>
      <c r="L434" s="49"/>
      <c r="M434" s="58"/>
      <c r="O434" s="49"/>
    </row>
    <row r="435" ht="15.75" customHeight="1">
      <c r="A435" s="58"/>
      <c r="C435" s="49"/>
      <c r="D435" s="58"/>
      <c r="F435" s="49"/>
      <c r="G435" s="58"/>
      <c r="I435" s="49"/>
      <c r="J435" s="58"/>
      <c r="L435" s="49"/>
      <c r="M435" s="58"/>
      <c r="O435" s="49"/>
    </row>
    <row r="436" ht="15.75" customHeight="1">
      <c r="A436" s="58"/>
      <c r="C436" s="49"/>
      <c r="D436" s="58"/>
      <c r="F436" s="49"/>
      <c r="G436" s="58"/>
      <c r="I436" s="49"/>
      <c r="J436" s="58"/>
      <c r="L436" s="49"/>
      <c r="M436" s="58"/>
      <c r="O436" s="49"/>
    </row>
    <row r="437" ht="15.75" customHeight="1">
      <c r="A437" s="58"/>
      <c r="C437" s="49"/>
      <c r="D437" s="58"/>
      <c r="F437" s="49"/>
      <c r="G437" s="58"/>
      <c r="I437" s="49"/>
      <c r="J437" s="58"/>
      <c r="L437" s="49"/>
      <c r="M437" s="58"/>
      <c r="O437" s="49"/>
    </row>
    <row r="438" ht="15.75" customHeight="1">
      <c r="A438" s="58"/>
      <c r="C438" s="49"/>
      <c r="D438" s="58"/>
      <c r="F438" s="49"/>
      <c r="G438" s="58"/>
      <c r="I438" s="49"/>
      <c r="J438" s="58"/>
      <c r="L438" s="49"/>
      <c r="M438" s="58"/>
      <c r="O438" s="49"/>
    </row>
    <row r="439" ht="15.75" customHeight="1">
      <c r="A439" s="58"/>
      <c r="C439" s="49"/>
      <c r="D439" s="58"/>
      <c r="F439" s="49"/>
      <c r="G439" s="58"/>
      <c r="I439" s="49"/>
      <c r="J439" s="58"/>
      <c r="L439" s="49"/>
      <c r="M439" s="58"/>
      <c r="O439" s="49"/>
    </row>
    <row r="440" ht="15.75" customHeight="1">
      <c r="A440" s="58"/>
      <c r="C440" s="49"/>
      <c r="D440" s="58"/>
      <c r="F440" s="49"/>
      <c r="G440" s="58"/>
      <c r="I440" s="49"/>
      <c r="J440" s="58"/>
      <c r="L440" s="49"/>
      <c r="M440" s="58"/>
      <c r="O440" s="49"/>
    </row>
    <row r="441" ht="15.75" customHeight="1">
      <c r="A441" s="58"/>
      <c r="C441" s="49"/>
      <c r="D441" s="58"/>
      <c r="F441" s="49"/>
      <c r="G441" s="58"/>
      <c r="I441" s="49"/>
      <c r="J441" s="58"/>
      <c r="L441" s="49"/>
      <c r="M441" s="58"/>
      <c r="O441" s="49"/>
    </row>
    <row r="442" ht="15.75" customHeight="1">
      <c r="A442" s="58"/>
      <c r="C442" s="49"/>
      <c r="D442" s="58"/>
      <c r="F442" s="49"/>
      <c r="G442" s="58"/>
      <c r="I442" s="49"/>
      <c r="J442" s="58"/>
      <c r="L442" s="49"/>
      <c r="M442" s="58"/>
      <c r="O442" s="49"/>
    </row>
    <row r="443" ht="15.75" customHeight="1">
      <c r="A443" s="58"/>
      <c r="C443" s="49"/>
      <c r="D443" s="58"/>
      <c r="F443" s="49"/>
      <c r="G443" s="58"/>
      <c r="I443" s="49"/>
      <c r="J443" s="58"/>
      <c r="L443" s="49"/>
      <c r="M443" s="58"/>
      <c r="O443" s="49"/>
    </row>
    <row r="444" ht="15.75" customHeight="1">
      <c r="A444" s="58"/>
      <c r="C444" s="49"/>
      <c r="D444" s="58"/>
      <c r="F444" s="49"/>
      <c r="G444" s="58"/>
      <c r="I444" s="49"/>
      <c r="J444" s="58"/>
      <c r="L444" s="49"/>
      <c r="M444" s="58"/>
      <c r="O444" s="49"/>
    </row>
    <row r="445" ht="15.75" customHeight="1">
      <c r="A445" s="58"/>
      <c r="C445" s="49"/>
      <c r="D445" s="58"/>
      <c r="F445" s="49"/>
      <c r="G445" s="58"/>
      <c r="I445" s="49"/>
      <c r="J445" s="58"/>
      <c r="L445" s="49"/>
      <c r="M445" s="58"/>
      <c r="O445" s="49"/>
    </row>
    <row r="446" ht="15.75" customHeight="1">
      <c r="A446" s="58"/>
      <c r="C446" s="49"/>
      <c r="D446" s="58"/>
      <c r="F446" s="49"/>
      <c r="G446" s="58"/>
      <c r="I446" s="49"/>
      <c r="J446" s="58"/>
      <c r="L446" s="49"/>
      <c r="M446" s="58"/>
      <c r="O446" s="49"/>
    </row>
    <row r="447" ht="15.75" customHeight="1">
      <c r="A447" s="58"/>
      <c r="C447" s="49"/>
      <c r="D447" s="58"/>
      <c r="F447" s="49"/>
      <c r="G447" s="58"/>
      <c r="I447" s="49"/>
      <c r="J447" s="58"/>
      <c r="L447" s="49"/>
      <c r="M447" s="58"/>
      <c r="O447" s="49"/>
    </row>
    <row r="448" ht="15.75" customHeight="1">
      <c r="A448" s="58"/>
      <c r="C448" s="49"/>
      <c r="D448" s="58"/>
      <c r="F448" s="49"/>
      <c r="G448" s="58"/>
      <c r="I448" s="49"/>
      <c r="J448" s="58"/>
      <c r="L448" s="49"/>
      <c r="M448" s="58"/>
      <c r="O448" s="49"/>
    </row>
    <row r="449" ht="15.75" customHeight="1">
      <c r="A449" s="58"/>
      <c r="C449" s="49"/>
      <c r="D449" s="58"/>
      <c r="F449" s="49"/>
      <c r="G449" s="58"/>
      <c r="I449" s="49"/>
      <c r="J449" s="58"/>
      <c r="L449" s="49"/>
      <c r="M449" s="58"/>
      <c r="O449" s="49"/>
    </row>
    <row r="450" ht="15.75" customHeight="1">
      <c r="A450" s="58"/>
      <c r="C450" s="49"/>
      <c r="D450" s="58"/>
      <c r="F450" s="49"/>
      <c r="G450" s="58"/>
      <c r="I450" s="49"/>
      <c r="J450" s="58"/>
      <c r="L450" s="49"/>
      <c r="M450" s="58"/>
      <c r="O450" s="49"/>
    </row>
    <row r="451" ht="15.75" customHeight="1">
      <c r="A451" s="58"/>
      <c r="C451" s="49"/>
      <c r="D451" s="58"/>
      <c r="F451" s="49"/>
      <c r="G451" s="58"/>
      <c r="I451" s="49"/>
      <c r="J451" s="58"/>
      <c r="L451" s="49"/>
      <c r="M451" s="58"/>
      <c r="O451" s="49"/>
    </row>
    <row r="452" ht="15.75" customHeight="1">
      <c r="A452" s="58"/>
      <c r="C452" s="49"/>
      <c r="D452" s="58"/>
      <c r="F452" s="49"/>
      <c r="G452" s="58"/>
      <c r="I452" s="49"/>
      <c r="J452" s="58"/>
      <c r="L452" s="49"/>
      <c r="M452" s="58"/>
      <c r="O452" s="49"/>
    </row>
    <row r="453" ht="15.75" customHeight="1">
      <c r="A453" s="58"/>
      <c r="C453" s="49"/>
      <c r="D453" s="58"/>
      <c r="F453" s="49"/>
      <c r="G453" s="58"/>
      <c r="I453" s="49"/>
      <c r="J453" s="58"/>
      <c r="L453" s="49"/>
      <c r="M453" s="58"/>
      <c r="O453" s="49"/>
    </row>
    <row r="454" ht="15.75" customHeight="1">
      <c r="A454" s="58"/>
      <c r="C454" s="49"/>
      <c r="D454" s="58"/>
      <c r="F454" s="49"/>
      <c r="G454" s="58"/>
      <c r="I454" s="49"/>
      <c r="J454" s="58"/>
      <c r="L454" s="49"/>
      <c r="M454" s="58"/>
      <c r="O454" s="49"/>
    </row>
    <row r="455" ht="15.75" customHeight="1">
      <c r="A455" s="58"/>
      <c r="C455" s="49"/>
      <c r="D455" s="58"/>
      <c r="F455" s="49"/>
      <c r="G455" s="58"/>
      <c r="I455" s="49"/>
      <c r="J455" s="58"/>
      <c r="L455" s="49"/>
      <c r="M455" s="58"/>
      <c r="O455" s="49"/>
    </row>
    <row r="456" ht="15.75" customHeight="1">
      <c r="A456" s="58"/>
      <c r="C456" s="49"/>
      <c r="D456" s="58"/>
      <c r="F456" s="49"/>
      <c r="G456" s="58"/>
      <c r="I456" s="49"/>
      <c r="J456" s="58"/>
      <c r="L456" s="49"/>
      <c r="M456" s="58"/>
      <c r="O456" s="49"/>
    </row>
    <row r="457" ht="15.75" customHeight="1">
      <c r="A457" s="58"/>
      <c r="C457" s="49"/>
      <c r="D457" s="58"/>
      <c r="F457" s="49"/>
      <c r="G457" s="58"/>
      <c r="I457" s="49"/>
      <c r="J457" s="58"/>
      <c r="L457" s="49"/>
      <c r="M457" s="58"/>
      <c r="O457" s="49"/>
    </row>
    <row r="458" ht="15.75" customHeight="1">
      <c r="A458" s="58"/>
      <c r="C458" s="49"/>
      <c r="D458" s="58"/>
      <c r="F458" s="49"/>
      <c r="G458" s="58"/>
      <c r="I458" s="49"/>
      <c r="J458" s="58"/>
      <c r="L458" s="49"/>
      <c r="M458" s="58"/>
      <c r="O458" s="49"/>
    </row>
    <row r="459" ht="15.75" customHeight="1">
      <c r="A459" s="58"/>
      <c r="C459" s="49"/>
      <c r="D459" s="58"/>
      <c r="F459" s="49"/>
      <c r="G459" s="58"/>
      <c r="I459" s="49"/>
      <c r="J459" s="58"/>
      <c r="L459" s="49"/>
      <c r="M459" s="58"/>
      <c r="O459" s="49"/>
    </row>
    <row r="460" ht="15.75" customHeight="1">
      <c r="A460" s="58"/>
      <c r="C460" s="49"/>
      <c r="D460" s="58"/>
      <c r="F460" s="49"/>
      <c r="G460" s="58"/>
      <c r="I460" s="49"/>
      <c r="J460" s="58"/>
      <c r="L460" s="49"/>
      <c r="M460" s="58"/>
      <c r="O460" s="49"/>
    </row>
    <row r="461" ht="15.75" customHeight="1">
      <c r="A461" s="58"/>
      <c r="C461" s="49"/>
      <c r="D461" s="58"/>
      <c r="F461" s="49"/>
      <c r="G461" s="58"/>
      <c r="I461" s="49"/>
      <c r="J461" s="58"/>
      <c r="L461" s="49"/>
      <c r="M461" s="58"/>
      <c r="O461" s="49"/>
    </row>
    <row r="462" ht="15.75" customHeight="1">
      <c r="A462" s="58"/>
      <c r="C462" s="49"/>
      <c r="D462" s="58"/>
      <c r="F462" s="49"/>
      <c r="G462" s="58"/>
      <c r="I462" s="49"/>
      <c r="J462" s="58"/>
      <c r="L462" s="49"/>
      <c r="M462" s="58"/>
      <c r="O462" s="49"/>
    </row>
    <row r="463" ht="15.75" customHeight="1">
      <c r="A463" s="58"/>
      <c r="C463" s="49"/>
      <c r="D463" s="58"/>
      <c r="F463" s="49"/>
      <c r="G463" s="58"/>
      <c r="I463" s="49"/>
      <c r="J463" s="58"/>
      <c r="L463" s="49"/>
      <c r="M463" s="58"/>
      <c r="O463" s="49"/>
    </row>
    <row r="464" ht="15.75" customHeight="1">
      <c r="A464" s="58"/>
      <c r="C464" s="49"/>
      <c r="D464" s="58"/>
      <c r="F464" s="49"/>
      <c r="G464" s="58"/>
      <c r="I464" s="49"/>
      <c r="J464" s="58"/>
      <c r="L464" s="49"/>
      <c r="M464" s="58"/>
      <c r="O464" s="49"/>
    </row>
    <row r="465" ht="15.75" customHeight="1">
      <c r="A465" s="58"/>
      <c r="C465" s="49"/>
      <c r="D465" s="58"/>
      <c r="F465" s="49"/>
      <c r="G465" s="58"/>
      <c r="I465" s="49"/>
      <c r="J465" s="58"/>
      <c r="L465" s="49"/>
      <c r="M465" s="58"/>
      <c r="O465" s="49"/>
    </row>
    <row r="466" ht="15.75" customHeight="1">
      <c r="A466" s="58"/>
      <c r="C466" s="49"/>
      <c r="D466" s="58"/>
      <c r="F466" s="49"/>
      <c r="G466" s="58"/>
      <c r="I466" s="49"/>
      <c r="J466" s="58"/>
      <c r="L466" s="49"/>
      <c r="M466" s="58"/>
      <c r="O466" s="49"/>
    </row>
    <row r="467" ht="15.75" customHeight="1">
      <c r="A467" s="58"/>
      <c r="C467" s="49"/>
      <c r="D467" s="58"/>
      <c r="F467" s="49"/>
      <c r="G467" s="58"/>
      <c r="I467" s="49"/>
      <c r="J467" s="58"/>
      <c r="L467" s="49"/>
      <c r="M467" s="58"/>
      <c r="O467" s="49"/>
    </row>
    <row r="468" ht="15.75" customHeight="1">
      <c r="A468" s="58"/>
      <c r="C468" s="49"/>
      <c r="D468" s="58"/>
      <c r="F468" s="49"/>
      <c r="G468" s="58"/>
      <c r="I468" s="49"/>
      <c r="J468" s="58"/>
      <c r="L468" s="49"/>
      <c r="M468" s="58"/>
      <c r="O468" s="49"/>
    </row>
    <row r="469" ht="15.75" customHeight="1">
      <c r="A469" s="58"/>
      <c r="C469" s="49"/>
      <c r="D469" s="58"/>
      <c r="F469" s="49"/>
      <c r="G469" s="58"/>
      <c r="I469" s="49"/>
      <c r="J469" s="58"/>
      <c r="L469" s="49"/>
      <c r="M469" s="58"/>
      <c r="O469" s="49"/>
    </row>
    <row r="470" ht="15.75" customHeight="1">
      <c r="A470" s="58"/>
      <c r="C470" s="49"/>
      <c r="D470" s="58"/>
      <c r="F470" s="49"/>
      <c r="G470" s="58"/>
      <c r="I470" s="49"/>
      <c r="J470" s="58"/>
      <c r="L470" s="49"/>
      <c r="M470" s="58"/>
      <c r="O470" s="49"/>
    </row>
    <row r="471" ht="15.75" customHeight="1">
      <c r="A471" s="58"/>
      <c r="C471" s="49"/>
      <c r="D471" s="58"/>
      <c r="F471" s="49"/>
      <c r="G471" s="58"/>
      <c r="I471" s="49"/>
      <c r="J471" s="58"/>
      <c r="L471" s="49"/>
      <c r="M471" s="58"/>
      <c r="O471" s="49"/>
    </row>
    <row r="472" ht="15.75" customHeight="1">
      <c r="A472" s="58"/>
      <c r="C472" s="49"/>
      <c r="D472" s="58"/>
      <c r="F472" s="49"/>
      <c r="G472" s="58"/>
      <c r="I472" s="49"/>
      <c r="J472" s="58"/>
      <c r="L472" s="49"/>
      <c r="M472" s="58"/>
      <c r="O472" s="49"/>
    </row>
    <row r="473" ht="15.75" customHeight="1">
      <c r="A473" s="58"/>
      <c r="C473" s="49"/>
      <c r="D473" s="58"/>
      <c r="F473" s="49"/>
      <c r="G473" s="58"/>
      <c r="I473" s="49"/>
      <c r="J473" s="58"/>
      <c r="L473" s="49"/>
      <c r="M473" s="58"/>
      <c r="O473" s="49"/>
    </row>
    <row r="474" ht="15.75" customHeight="1">
      <c r="A474" s="58"/>
      <c r="C474" s="49"/>
      <c r="D474" s="58"/>
      <c r="F474" s="49"/>
      <c r="G474" s="58"/>
      <c r="I474" s="49"/>
      <c r="J474" s="58"/>
      <c r="L474" s="49"/>
      <c r="M474" s="58"/>
      <c r="O474" s="49"/>
    </row>
    <row r="475" ht="15.75" customHeight="1">
      <c r="A475" s="58"/>
      <c r="C475" s="49"/>
      <c r="D475" s="58"/>
      <c r="F475" s="49"/>
      <c r="G475" s="58"/>
      <c r="I475" s="49"/>
      <c r="J475" s="58"/>
      <c r="L475" s="49"/>
      <c r="M475" s="58"/>
      <c r="O475" s="49"/>
    </row>
    <row r="476" ht="15.75" customHeight="1">
      <c r="A476" s="58"/>
      <c r="C476" s="49"/>
      <c r="D476" s="58"/>
      <c r="F476" s="49"/>
      <c r="G476" s="58"/>
      <c r="I476" s="49"/>
      <c r="J476" s="58"/>
      <c r="L476" s="49"/>
      <c r="M476" s="58"/>
      <c r="O476" s="49"/>
    </row>
    <row r="477" ht="15.75" customHeight="1">
      <c r="A477" s="58"/>
      <c r="C477" s="49"/>
      <c r="D477" s="58"/>
      <c r="F477" s="49"/>
      <c r="G477" s="58"/>
      <c r="I477" s="49"/>
      <c r="J477" s="58"/>
      <c r="L477" s="49"/>
      <c r="M477" s="58"/>
      <c r="O477" s="49"/>
    </row>
    <row r="478" ht="15.75" customHeight="1">
      <c r="A478" s="58"/>
      <c r="C478" s="49"/>
      <c r="D478" s="58"/>
      <c r="F478" s="49"/>
      <c r="G478" s="58"/>
      <c r="I478" s="49"/>
      <c r="J478" s="58"/>
      <c r="L478" s="49"/>
      <c r="M478" s="58"/>
      <c r="O478" s="49"/>
    </row>
    <row r="479" ht="15.75" customHeight="1">
      <c r="A479" s="58"/>
      <c r="C479" s="49"/>
      <c r="D479" s="58"/>
      <c r="F479" s="49"/>
      <c r="G479" s="58"/>
      <c r="I479" s="49"/>
      <c r="J479" s="58"/>
      <c r="L479" s="49"/>
      <c r="M479" s="58"/>
      <c r="O479" s="49"/>
    </row>
    <row r="480" ht="15.75" customHeight="1">
      <c r="A480" s="58"/>
      <c r="C480" s="49"/>
      <c r="D480" s="58"/>
      <c r="F480" s="49"/>
      <c r="G480" s="58"/>
      <c r="I480" s="49"/>
      <c r="J480" s="58"/>
      <c r="L480" s="49"/>
      <c r="M480" s="58"/>
      <c r="O480" s="49"/>
    </row>
    <row r="481" ht="15.75" customHeight="1">
      <c r="A481" s="58"/>
      <c r="C481" s="49"/>
      <c r="D481" s="58"/>
      <c r="F481" s="49"/>
      <c r="G481" s="58"/>
      <c r="I481" s="49"/>
      <c r="J481" s="58"/>
      <c r="L481" s="49"/>
      <c r="M481" s="58"/>
      <c r="O481" s="49"/>
    </row>
    <row r="482" ht="15.75" customHeight="1">
      <c r="A482" s="58"/>
      <c r="C482" s="49"/>
      <c r="D482" s="58"/>
      <c r="F482" s="49"/>
      <c r="G482" s="58"/>
      <c r="I482" s="49"/>
      <c r="J482" s="58"/>
      <c r="L482" s="49"/>
      <c r="M482" s="58"/>
      <c r="O482" s="49"/>
    </row>
    <row r="483" ht="15.75" customHeight="1">
      <c r="A483" s="58"/>
      <c r="C483" s="49"/>
      <c r="D483" s="58"/>
      <c r="F483" s="49"/>
      <c r="G483" s="58"/>
      <c r="I483" s="49"/>
      <c r="J483" s="58"/>
      <c r="L483" s="49"/>
      <c r="M483" s="58"/>
      <c r="O483" s="49"/>
    </row>
    <row r="484" ht="15.75" customHeight="1">
      <c r="A484" s="58"/>
      <c r="C484" s="49"/>
      <c r="D484" s="58"/>
      <c r="F484" s="49"/>
      <c r="G484" s="58"/>
      <c r="I484" s="49"/>
      <c r="J484" s="58"/>
      <c r="L484" s="49"/>
      <c r="M484" s="58"/>
      <c r="O484" s="49"/>
    </row>
    <row r="485" ht="15.75" customHeight="1">
      <c r="A485" s="58"/>
      <c r="C485" s="49"/>
      <c r="D485" s="58"/>
      <c r="F485" s="49"/>
      <c r="G485" s="58"/>
      <c r="I485" s="49"/>
      <c r="J485" s="58"/>
      <c r="L485" s="49"/>
      <c r="M485" s="58"/>
      <c r="O485" s="49"/>
    </row>
    <row r="486" ht="15.75" customHeight="1">
      <c r="A486" s="58"/>
      <c r="C486" s="49"/>
      <c r="D486" s="58"/>
      <c r="F486" s="49"/>
      <c r="G486" s="58"/>
      <c r="I486" s="49"/>
      <c r="J486" s="58"/>
      <c r="L486" s="49"/>
      <c r="M486" s="58"/>
      <c r="O486" s="49"/>
    </row>
    <row r="487" ht="15.75" customHeight="1">
      <c r="A487" s="58"/>
      <c r="C487" s="49"/>
      <c r="D487" s="58"/>
      <c r="F487" s="49"/>
      <c r="G487" s="58"/>
      <c r="I487" s="49"/>
      <c r="J487" s="58"/>
      <c r="L487" s="49"/>
      <c r="M487" s="58"/>
      <c r="O487" s="49"/>
    </row>
    <row r="488" ht="15.75" customHeight="1">
      <c r="A488" s="58"/>
      <c r="C488" s="49"/>
      <c r="D488" s="58"/>
      <c r="F488" s="49"/>
      <c r="G488" s="58"/>
      <c r="I488" s="49"/>
      <c r="J488" s="58"/>
      <c r="L488" s="49"/>
      <c r="M488" s="58"/>
      <c r="O488" s="49"/>
    </row>
    <row r="489" ht="15.75" customHeight="1">
      <c r="A489" s="58"/>
      <c r="C489" s="49"/>
      <c r="D489" s="58"/>
      <c r="F489" s="49"/>
      <c r="G489" s="58"/>
      <c r="I489" s="49"/>
      <c r="J489" s="58"/>
      <c r="L489" s="49"/>
      <c r="M489" s="58"/>
      <c r="O489" s="49"/>
    </row>
    <row r="490" ht="15.75" customHeight="1">
      <c r="A490" s="58"/>
      <c r="C490" s="49"/>
      <c r="D490" s="58"/>
      <c r="F490" s="49"/>
      <c r="G490" s="58"/>
      <c r="I490" s="49"/>
      <c r="J490" s="58"/>
      <c r="L490" s="49"/>
      <c r="M490" s="58"/>
      <c r="O490" s="49"/>
    </row>
    <row r="491" ht="15.75" customHeight="1">
      <c r="A491" s="58"/>
      <c r="C491" s="49"/>
      <c r="D491" s="58"/>
      <c r="F491" s="49"/>
      <c r="G491" s="58"/>
      <c r="I491" s="49"/>
      <c r="J491" s="58"/>
      <c r="L491" s="49"/>
      <c r="M491" s="58"/>
      <c r="O491" s="49"/>
    </row>
    <row r="492" ht="15.75" customHeight="1">
      <c r="A492" s="58"/>
      <c r="C492" s="49"/>
      <c r="D492" s="58"/>
      <c r="F492" s="49"/>
      <c r="G492" s="58"/>
      <c r="I492" s="49"/>
      <c r="J492" s="58"/>
      <c r="L492" s="49"/>
      <c r="M492" s="58"/>
      <c r="O492" s="49"/>
    </row>
    <row r="493" ht="15.75" customHeight="1">
      <c r="A493" s="58"/>
      <c r="C493" s="49"/>
      <c r="D493" s="58"/>
      <c r="F493" s="49"/>
      <c r="G493" s="58"/>
      <c r="I493" s="49"/>
      <c r="J493" s="58"/>
      <c r="L493" s="49"/>
      <c r="M493" s="58"/>
      <c r="O493" s="49"/>
    </row>
    <row r="494" ht="15.75" customHeight="1">
      <c r="A494" s="58"/>
      <c r="C494" s="49"/>
      <c r="D494" s="58"/>
      <c r="F494" s="49"/>
      <c r="G494" s="58"/>
      <c r="I494" s="49"/>
      <c r="J494" s="58"/>
      <c r="L494" s="49"/>
      <c r="M494" s="58"/>
      <c r="O494" s="49"/>
    </row>
    <row r="495" ht="15.75" customHeight="1">
      <c r="A495" s="58"/>
      <c r="C495" s="49"/>
      <c r="D495" s="58"/>
      <c r="F495" s="49"/>
      <c r="G495" s="58"/>
      <c r="I495" s="49"/>
      <c r="J495" s="58"/>
      <c r="L495" s="49"/>
      <c r="M495" s="58"/>
      <c r="O495" s="49"/>
    </row>
    <row r="496" ht="15.75" customHeight="1">
      <c r="A496" s="58"/>
      <c r="C496" s="49"/>
      <c r="D496" s="58"/>
      <c r="F496" s="49"/>
      <c r="G496" s="58"/>
      <c r="I496" s="49"/>
      <c r="J496" s="58"/>
      <c r="L496" s="49"/>
      <c r="M496" s="58"/>
      <c r="O496" s="49"/>
    </row>
    <row r="497" ht="15.75" customHeight="1">
      <c r="A497" s="58"/>
      <c r="C497" s="49"/>
      <c r="D497" s="58"/>
      <c r="F497" s="49"/>
      <c r="G497" s="58"/>
      <c r="I497" s="49"/>
      <c r="J497" s="58"/>
      <c r="L497" s="49"/>
      <c r="M497" s="58"/>
      <c r="O497" s="49"/>
    </row>
    <row r="498" ht="15.75" customHeight="1">
      <c r="A498" s="58"/>
      <c r="C498" s="49"/>
      <c r="D498" s="58"/>
      <c r="F498" s="49"/>
      <c r="G498" s="58"/>
      <c r="I498" s="49"/>
      <c r="J498" s="58"/>
      <c r="L498" s="49"/>
      <c r="M498" s="58"/>
      <c r="O498" s="49"/>
    </row>
    <row r="499" ht="15.75" customHeight="1">
      <c r="A499" s="58"/>
      <c r="C499" s="49"/>
      <c r="D499" s="58"/>
      <c r="F499" s="49"/>
      <c r="G499" s="58"/>
      <c r="I499" s="49"/>
      <c r="J499" s="58"/>
      <c r="L499" s="49"/>
      <c r="M499" s="58"/>
      <c r="O499" s="49"/>
    </row>
    <row r="500" ht="15.75" customHeight="1">
      <c r="A500" s="58"/>
      <c r="C500" s="49"/>
      <c r="D500" s="58"/>
      <c r="F500" s="49"/>
      <c r="G500" s="58"/>
      <c r="I500" s="49"/>
      <c r="J500" s="58"/>
      <c r="L500" s="49"/>
      <c r="M500" s="58"/>
      <c r="O500" s="49"/>
    </row>
    <row r="501" ht="15.75" customHeight="1">
      <c r="A501" s="58"/>
      <c r="C501" s="49"/>
      <c r="D501" s="58"/>
      <c r="F501" s="49"/>
      <c r="G501" s="58"/>
      <c r="I501" s="49"/>
      <c r="J501" s="58"/>
      <c r="L501" s="49"/>
      <c r="M501" s="58"/>
      <c r="O501" s="49"/>
    </row>
    <row r="502" ht="15.75" customHeight="1">
      <c r="A502" s="58"/>
      <c r="C502" s="49"/>
      <c r="D502" s="58"/>
      <c r="F502" s="49"/>
      <c r="G502" s="58"/>
      <c r="I502" s="49"/>
      <c r="J502" s="58"/>
      <c r="L502" s="49"/>
      <c r="M502" s="58"/>
      <c r="O502" s="49"/>
    </row>
    <row r="503" ht="15.75" customHeight="1">
      <c r="A503" s="58"/>
      <c r="C503" s="49"/>
      <c r="D503" s="58"/>
      <c r="F503" s="49"/>
      <c r="G503" s="58"/>
      <c r="I503" s="49"/>
      <c r="J503" s="58"/>
      <c r="L503" s="49"/>
      <c r="M503" s="58"/>
      <c r="O503" s="49"/>
    </row>
    <row r="504" ht="15.75" customHeight="1">
      <c r="A504" s="58"/>
      <c r="C504" s="49"/>
      <c r="D504" s="58"/>
      <c r="F504" s="49"/>
      <c r="G504" s="58"/>
      <c r="I504" s="49"/>
      <c r="J504" s="58"/>
      <c r="L504" s="49"/>
      <c r="M504" s="58"/>
      <c r="O504" s="49"/>
    </row>
    <row r="505" ht="15.75" customHeight="1">
      <c r="A505" s="58"/>
      <c r="C505" s="49"/>
      <c r="D505" s="58"/>
      <c r="F505" s="49"/>
      <c r="G505" s="58"/>
      <c r="I505" s="49"/>
      <c r="J505" s="58"/>
      <c r="L505" s="49"/>
      <c r="M505" s="58"/>
      <c r="O505" s="49"/>
    </row>
    <row r="506" ht="15.75" customHeight="1">
      <c r="A506" s="58"/>
      <c r="C506" s="49"/>
      <c r="D506" s="58"/>
      <c r="F506" s="49"/>
      <c r="G506" s="58"/>
      <c r="I506" s="49"/>
      <c r="J506" s="58"/>
      <c r="L506" s="49"/>
      <c r="M506" s="58"/>
      <c r="O506" s="49"/>
    </row>
    <row r="507" ht="15.75" customHeight="1">
      <c r="A507" s="58"/>
      <c r="C507" s="49"/>
      <c r="D507" s="58"/>
      <c r="F507" s="49"/>
      <c r="G507" s="58"/>
      <c r="I507" s="49"/>
      <c r="J507" s="58"/>
      <c r="L507" s="49"/>
      <c r="M507" s="58"/>
      <c r="O507" s="49"/>
    </row>
    <row r="508" ht="15.75" customHeight="1">
      <c r="A508" s="58"/>
      <c r="C508" s="49"/>
      <c r="D508" s="58"/>
      <c r="F508" s="49"/>
      <c r="G508" s="58"/>
      <c r="I508" s="49"/>
      <c r="J508" s="58"/>
      <c r="L508" s="49"/>
      <c r="M508" s="58"/>
      <c r="O508" s="49"/>
    </row>
    <row r="509" ht="15.75" customHeight="1">
      <c r="A509" s="58"/>
      <c r="C509" s="49"/>
      <c r="D509" s="58"/>
      <c r="F509" s="49"/>
      <c r="G509" s="58"/>
      <c r="I509" s="49"/>
      <c r="J509" s="58"/>
      <c r="L509" s="49"/>
      <c r="M509" s="58"/>
      <c r="O509" s="49"/>
    </row>
    <row r="510" ht="15.75" customHeight="1">
      <c r="A510" s="58"/>
      <c r="C510" s="49"/>
      <c r="D510" s="58"/>
      <c r="F510" s="49"/>
      <c r="G510" s="58"/>
      <c r="I510" s="49"/>
      <c r="J510" s="58"/>
      <c r="L510" s="49"/>
      <c r="M510" s="58"/>
      <c r="O510" s="49"/>
    </row>
    <row r="511" ht="15.75" customHeight="1">
      <c r="A511" s="58"/>
      <c r="C511" s="49"/>
      <c r="D511" s="58"/>
      <c r="F511" s="49"/>
      <c r="G511" s="58"/>
      <c r="I511" s="49"/>
      <c r="J511" s="58"/>
      <c r="L511" s="49"/>
      <c r="M511" s="58"/>
      <c r="O511" s="49"/>
    </row>
    <row r="512" ht="15.75" customHeight="1">
      <c r="A512" s="58"/>
      <c r="C512" s="49"/>
      <c r="D512" s="58"/>
      <c r="F512" s="49"/>
      <c r="G512" s="58"/>
      <c r="I512" s="49"/>
      <c r="J512" s="58"/>
      <c r="L512" s="49"/>
      <c r="M512" s="58"/>
      <c r="O512" s="49"/>
    </row>
    <row r="513" ht="15.75" customHeight="1">
      <c r="A513" s="58"/>
      <c r="C513" s="49"/>
      <c r="D513" s="58"/>
      <c r="F513" s="49"/>
      <c r="G513" s="58"/>
      <c r="I513" s="49"/>
      <c r="J513" s="58"/>
      <c r="L513" s="49"/>
      <c r="M513" s="58"/>
      <c r="O513" s="49"/>
    </row>
    <row r="514" ht="15.75" customHeight="1">
      <c r="A514" s="58"/>
      <c r="C514" s="49"/>
      <c r="D514" s="58"/>
      <c r="F514" s="49"/>
      <c r="G514" s="58"/>
      <c r="I514" s="49"/>
      <c r="J514" s="58"/>
      <c r="L514" s="49"/>
      <c r="M514" s="58"/>
      <c r="O514" s="49"/>
    </row>
    <row r="515" ht="15.75" customHeight="1">
      <c r="A515" s="58"/>
      <c r="C515" s="49"/>
      <c r="D515" s="58"/>
      <c r="F515" s="49"/>
      <c r="G515" s="58"/>
      <c r="I515" s="49"/>
      <c r="J515" s="58"/>
      <c r="L515" s="49"/>
      <c r="M515" s="58"/>
      <c r="O515" s="49"/>
    </row>
    <row r="516" ht="15.75" customHeight="1">
      <c r="A516" s="58"/>
      <c r="C516" s="49"/>
      <c r="D516" s="58"/>
      <c r="F516" s="49"/>
      <c r="G516" s="58"/>
      <c r="I516" s="49"/>
      <c r="J516" s="58"/>
      <c r="L516" s="49"/>
      <c r="M516" s="58"/>
      <c r="O516" s="49"/>
    </row>
    <row r="517" ht="15.75" customHeight="1">
      <c r="A517" s="58"/>
      <c r="C517" s="49"/>
      <c r="D517" s="58"/>
      <c r="F517" s="49"/>
      <c r="G517" s="58"/>
      <c r="I517" s="49"/>
      <c r="J517" s="58"/>
      <c r="L517" s="49"/>
      <c r="M517" s="58"/>
      <c r="O517" s="49"/>
    </row>
    <row r="518" ht="15.75" customHeight="1">
      <c r="A518" s="58"/>
      <c r="C518" s="49"/>
      <c r="D518" s="58"/>
      <c r="F518" s="49"/>
      <c r="G518" s="58"/>
      <c r="I518" s="49"/>
      <c r="J518" s="58"/>
      <c r="L518" s="49"/>
      <c r="M518" s="58"/>
      <c r="O518" s="49"/>
    </row>
    <row r="519" ht="15.75" customHeight="1">
      <c r="A519" s="58"/>
      <c r="C519" s="49"/>
      <c r="D519" s="58"/>
      <c r="F519" s="49"/>
      <c r="G519" s="58"/>
      <c r="I519" s="49"/>
      <c r="J519" s="58"/>
      <c r="L519" s="49"/>
      <c r="M519" s="58"/>
      <c r="O519" s="49"/>
    </row>
    <row r="520" ht="15.75" customHeight="1">
      <c r="A520" s="58"/>
      <c r="C520" s="49"/>
      <c r="D520" s="58"/>
      <c r="F520" s="49"/>
      <c r="G520" s="58"/>
      <c r="I520" s="49"/>
      <c r="J520" s="58"/>
      <c r="L520" s="49"/>
      <c r="M520" s="58"/>
      <c r="O520" s="49"/>
    </row>
    <row r="521" ht="15.75" customHeight="1">
      <c r="A521" s="58"/>
      <c r="C521" s="49"/>
      <c r="D521" s="58"/>
      <c r="F521" s="49"/>
      <c r="G521" s="58"/>
      <c r="I521" s="49"/>
      <c r="J521" s="58"/>
      <c r="L521" s="49"/>
      <c r="M521" s="58"/>
      <c r="O521" s="49"/>
    </row>
    <row r="522" ht="15.75" customHeight="1">
      <c r="A522" s="58"/>
      <c r="C522" s="49"/>
      <c r="D522" s="58"/>
      <c r="F522" s="49"/>
      <c r="G522" s="58"/>
      <c r="I522" s="49"/>
      <c r="J522" s="58"/>
      <c r="L522" s="49"/>
      <c r="M522" s="58"/>
      <c r="O522" s="49"/>
    </row>
    <row r="523" ht="15.75" customHeight="1">
      <c r="A523" s="58"/>
      <c r="C523" s="49"/>
      <c r="D523" s="58"/>
      <c r="F523" s="49"/>
      <c r="G523" s="58"/>
      <c r="I523" s="49"/>
      <c r="J523" s="58"/>
      <c r="L523" s="49"/>
      <c r="M523" s="58"/>
      <c r="O523" s="49"/>
    </row>
    <row r="524" ht="15.75" customHeight="1">
      <c r="A524" s="58"/>
      <c r="C524" s="49"/>
      <c r="D524" s="58"/>
      <c r="F524" s="49"/>
      <c r="G524" s="58"/>
      <c r="I524" s="49"/>
      <c r="J524" s="58"/>
      <c r="L524" s="49"/>
      <c r="M524" s="58"/>
      <c r="O524" s="49"/>
    </row>
    <row r="525" ht="15.75" customHeight="1">
      <c r="A525" s="58"/>
      <c r="C525" s="49"/>
      <c r="D525" s="58"/>
      <c r="F525" s="49"/>
      <c r="G525" s="58"/>
      <c r="I525" s="49"/>
      <c r="J525" s="58"/>
      <c r="L525" s="49"/>
      <c r="M525" s="58"/>
      <c r="O525" s="49"/>
    </row>
    <row r="526" ht="15.75" customHeight="1">
      <c r="A526" s="58"/>
      <c r="C526" s="49"/>
      <c r="D526" s="58"/>
      <c r="F526" s="49"/>
      <c r="G526" s="58"/>
      <c r="I526" s="49"/>
      <c r="J526" s="58"/>
      <c r="L526" s="49"/>
      <c r="M526" s="58"/>
      <c r="O526" s="49"/>
    </row>
    <row r="527" ht="15.75" customHeight="1">
      <c r="A527" s="58"/>
      <c r="C527" s="49"/>
      <c r="D527" s="58"/>
      <c r="F527" s="49"/>
      <c r="G527" s="58"/>
      <c r="I527" s="49"/>
      <c r="J527" s="58"/>
      <c r="L527" s="49"/>
      <c r="M527" s="58"/>
      <c r="O527" s="49"/>
    </row>
    <row r="528" ht="15.75" customHeight="1">
      <c r="A528" s="58"/>
      <c r="C528" s="49"/>
      <c r="D528" s="58"/>
      <c r="F528" s="49"/>
      <c r="G528" s="58"/>
      <c r="I528" s="49"/>
      <c r="J528" s="58"/>
      <c r="L528" s="49"/>
      <c r="M528" s="58"/>
      <c r="O528" s="49"/>
    </row>
    <row r="529" ht="15.75" customHeight="1">
      <c r="A529" s="58"/>
      <c r="C529" s="49"/>
      <c r="D529" s="58"/>
      <c r="F529" s="49"/>
      <c r="G529" s="58"/>
      <c r="I529" s="49"/>
      <c r="J529" s="58"/>
      <c r="L529" s="49"/>
      <c r="M529" s="58"/>
      <c r="O529" s="49"/>
    </row>
    <row r="530" ht="15.75" customHeight="1">
      <c r="A530" s="58"/>
      <c r="C530" s="49"/>
      <c r="D530" s="58"/>
      <c r="F530" s="49"/>
      <c r="G530" s="58"/>
      <c r="I530" s="49"/>
      <c r="J530" s="58"/>
      <c r="L530" s="49"/>
      <c r="M530" s="58"/>
      <c r="O530" s="49"/>
    </row>
    <row r="531" ht="15.75" customHeight="1">
      <c r="A531" s="58"/>
      <c r="C531" s="49"/>
      <c r="D531" s="58"/>
      <c r="F531" s="49"/>
      <c r="G531" s="58"/>
      <c r="I531" s="49"/>
      <c r="J531" s="58"/>
      <c r="L531" s="49"/>
      <c r="M531" s="58"/>
      <c r="O531" s="49"/>
    </row>
    <row r="532" ht="15.75" customHeight="1">
      <c r="A532" s="58"/>
      <c r="C532" s="49"/>
      <c r="D532" s="58"/>
      <c r="F532" s="49"/>
      <c r="G532" s="58"/>
      <c r="I532" s="49"/>
      <c r="J532" s="58"/>
      <c r="L532" s="49"/>
      <c r="M532" s="58"/>
      <c r="O532" s="49"/>
    </row>
    <row r="533" ht="15.75" customHeight="1">
      <c r="A533" s="58"/>
      <c r="C533" s="49"/>
      <c r="D533" s="58"/>
      <c r="F533" s="49"/>
      <c r="G533" s="58"/>
      <c r="I533" s="49"/>
      <c r="J533" s="58"/>
      <c r="L533" s="49"/>
      <c r="M533" s="58"/>
      <c r="O533" s="49"/>
    </row>
    <row r="534" ht="15.75" customHeight="1">
      <c r="A534" s="58"/>
      <c r="C534" s="49"/>
      <c r="D534" s="58"/>
      <c r="F534" s="49"/>
      <c r="G534" s="58"/>
      <c r="I534" s="49"/>
      <c r="J534" s="58"/>
      <c r="L534" s="49"/>
      <c r="M534" s="58"/>
      <c r="O534" s="49"/>
    </row>
    <row r="535" ht="15.75" customHeight="1">
      <c r="A535" s="58"/>
      <c r="C535" s="49"/>
      <c r="D535" s="58"/>
      <c r="F535" s="49"/>
      <c r="G535" s="58"/>
      <c r="I535" s="49"/>
      <c r="J535" s="58"/>
      <c r="L535" s="49"/>
      <c r="M535" s="58"/>
      <c r="O535" s="49"/>
    </row>
    <row r="536" ht="15.75" customHeight="1">
      <c r="A536" s="58"/>
      <c r="C536" s="49"/>
      <c r="D536" s="58"/>
      <c r="F536" s="49"/>
      <c r="G536" s="58"/>
      <c r="I536" s="49"/>
      <c r="J536" s="58"/>
      <c r="L536" s="49"/>
      <c r="M536" s="58"/>
      <c r="O536" s="49"/>
    </row>
    <row r="537" ht="15.75" customHeight="1">
      <c r="A537" s="58"/>
      <c r="C537" s="49"/>
      <c r="D537" s="58"/>
      <c r="F537" s="49"/>
      <c r="G537" s="58"/>
      <c r="I537" s="49"/>
      <c r="J537" s="58"/>
      <c r="L537" s="49"/>
      <c r="M537" s="58"/>
      <c r="O537" s="49"/>
    </row>
    <row r="538" ht="15.75" customHeight="1">
      <c r="A538" s="58"/>
      <c r="C538" s="49"/>
      <c r="D538" s="58"/>
      <c r="F538" s="49"/>
      <c r="G538" s="58"/>
      <c r="I538" s="49"/>
      <c r="J538" s="58"/>
      <c r="L538" s="49"/>
      <c r="M538" s="58"/>
      <c r="O538" s="49"/>
    </row>
    <row r="539" ht="15.75" customHeight="1">
      <c r="A539" s="58"/>
      <c r="C539" s="49"/>
      <c r="D539" s="58"/>
      <c r="F539" s="49"/>
      <c r="G539" s="58"/>
      <c r="I539" s="49"/>
      <c r="J539" s="58"/>
      <c r="L539" s="49"/>
      <c r="M539" s="58"/>
      <c r="O539" s="49"/>
    </row>
    <row r="540" ht="15.75" customHeight="1">
      <c r="A540" s="58"/>
      <c r="C540" s="49"/>
      <c r="D540" s="58"/>
      <c r="F540" s="49"/>
      <c r="G540" s="58"/>
      <c r="I540" s="49"/>
      <c r="J540" s="58"/>
      <c r="L540" s="49"/>
      <c r="M540" s="58"/>
      <c r="O540" s="49"/>
    </row>
    <row r="541" ht="15.75" customHeight="1">
      <c r="A541" s="58"/>
      <c r="C541" s="49"/>
      <c r="D541" s="58"/>
      <c r="F541" s="49"/>
      <c r="G541" s="58"/>
      <c r="I541" s="49"/>
      <c r="J541" s="58"/>
      <c r="L541" s="49"/>
      <c r="M541" s="58"/>
      <c r="O541" s="49"/>
    </row>
    <row r="542" ht="15.75" customHeight="1">
      <c r="A542" s="58"/>
      <c r="C542" s="49"/>
      <c r="D542" s="58"/>
      <c r="F542" s="49"/>
      <c r="G542" s="58"/>
      <c r="I542" s="49"/>
      <c r="J542" s="58"/>
      <c r="L542" s="49"/>
      <c r="M542" s="58"/>
      <c r="O542" s="49"/>
    </row>
    <row r="543" ht="15.75" customHeight="1">
      <c r="A543" s="58"/>
      <c r="C543" s="49"/>
      <c r="D543" s="58"/>
      <c r="F543" s="49"/>
      <c r="G543" s="58"/>
      <c r="I543" s="49"/>
      <c r="J543" s="58"/>
      <c r="L543" s="49"/>
      <c r="M543" s="58"/>
      <c r="O543" s="49"/>
    </row>
    <row r="544" ht="15.75" customHeight="1">
      <c r="A544" s="58"/>
      <c r="C544" s="49"/>
      <c r="D544" s="58"/>
      <c r="F544" s="49"/>
      <c r="G544" s="58"/>
      <c r="I544" s="49"/>
      <c r="J544" s="58"/>
      <c r="L544" s="49"/>
      <c r="M544" s="58"/>
      <c r="O544" s="49"/>
    </row>
    <row r="545" ht="15.75" customHeight="1">
      <c r="A545" s="58"/>
      <c r="C545" s="49"/>
      <c r="D545" s="58"/>
      <c r="F545" s="49"/>
      <c r="G545" s="58"/>
      <c r="I545" s="49"/>
      <c r="J545" s="58"/>
      <c r="L545" s="49"/>
      <c r="M545" s="58"/>
      <c r="O545" s="49"/>
    </row>
    <row r="546" ht="15.75" customHeight="1">
      <c r="A546" s="58"/>
      <c r="C546" s="49"/>
      <c r="D546" s="58"/>
      <c r="F546" s="49"/>
      <c r="G546" s="58"/>
      <c r="I546" s="49"/>
      <c r="J546" s="58"/>
      <c r="L546" s="49"/>
      <c r="M546" s="58"/>
      <c r="O546" s="49"/>
    </row>
    <row r="547" ht="15.75" customHeight="1">
      <c r="A547" s="58"/>
      <c r="C547" s="49"/>
      <c r="D547" s="58"/>
      <c r="F547" s="49"/>
      <c r="G547" s="58"/>
      <c r="I547" s="49"/>
      <c r="J547" s="58"/>
      <c r="L547" s="49"/>
      <c r="M547" s="58"/>
      <c r="O547" s="49"/>
    </row>
    <row r="548" ht="15.75" customHeight="1">
      <c r="A548" s="58"/>
      <c r="C548" s="49"/>
      <c r="D548" s="58"/>
      <c r="F548" s="49"/>
      <c r="G548" s="58"/>
      <c r="I548" s="49"/>
      <c r="J548" s="58"/>
      <c r="L548" s="49"/>
      <c r="M548" s="58"/>
      <c r="O548" s="49"/>
    </row>
    <row r="549" ht="15.75" customHeight="1">
      <c r="A549" s="58"/>
      <c r="C549" s="49"/>
      <c r="D549" s="58"/>
      <c r="F549" s="49"/>
      <c r="G549" s="58"/>
      <c r="I549" s="49"/>
      <c r="J549" s="58"/>
      <c r="L549" s="49"/>
      <c r="M549" s="58"/>
      <c r="O549" s="49"/>
    </row>
    <row r="550" ht="15.75" customHeight="1">
      <c r="A550" s="58"/>
      <c r="C550" s="49"/>
      <c r="D550" s="58"/>
      <c r="F550" s="49"/>
      <c r="G550" s="58"/>
      <c r="I550" s="49"/>
      <c r="J550" s="58"/>
      <c r="L550" s="49"/>
      <c r="M550" s="58"/>
      <c r="O550" s="49"/>
    </row>
    <row r="551" ht="15.75" customHeight="1">
      <c r="A551" s="58"/>
      <c r="C551" s="49"/>
      <c r="D551" s="58"/>
      <c r="F551" s="49"/>
      <c r="G551" s="58"/>
      <c r="I551" s="49"/>
      <c r="J551" s="58"/>
      <c r="L551" s="49"/>
      <c r="M551" s="58"/>
      <c r="O551" s="49"/>
    </row>
    <row r="552" ht="15.75" customHeight="1">
      <c r="A552" s="58"/>
      <c r="C552" s="49"/>
      <c r="D552" s="58"/>
      <c r="F552" s="49"/>
      <c r="G552" s="58"/>
      <c r="I552" s="49"/>
      <c r="J552" s="58"/>
      <c r="L552" s="49"/>
      <c r="M552" s="58"/>
      <c r="O552" s="49"/>
    </row>
    <row r="553" ht="15.75" customHeight="1">
      <c r="A553" s="58"/>
      <c r="C553" s="49"/>
      <c r="D553" s="58"/>
      <c r="F553" s="49"/>
      <c r="G553" s="58"/>
      <c r="I553" s="49"/>
      <c r="J553" s="58"/>
      <c r="L553" s="49"/>
      <c r="M553" s="58"/>
      <c r="O553" s="49"/>
    </row>
    <row r="554" ht="15.75" customHeight="1">
      <c r="A554" s="58"/>
      <c r="C554" s="49"/>
      <c r="D554" s="58"/>
      <c r="F554" s="49"/>
      <c r="G554" s="58"/>
      <c r="I554" s="49"/>
      <c r="J554" s="58"/>
      <c r="L554" s="49"/>
      <c r="M554" s="58"/>
      <c r="O554" s="49"/>
    </row>
    <row r="555" ht="15.75" customHeight="1">
      <c r="A555" s="58"/>
      <c r="C555" s="49"/>
      <c r="D555" s="58"/>
      <c r="F555" s="49"/>
      <c r="G555" s="58"/>
      <c r="I555" s="49"/>
      <c r="J555" s="58"/>
      <c r="L555" s="49"/>
      <c r="M555" s="58"/>
      <c r="O555" s="49"/>
    </row>
    <row r="556" ht="15.75" customHeight="1">
      <c r="A556" s="58"/>
      <c r="C556" s="49"/>
      <c r="D556" s="58"/>
      <c r="F556" s="49"/>
      <c r="G556" s="58"/>
      <c r="I556" s="49"/>
      <c r="J556" s="58"/>
      <c r="L556" s="49"/>
      <c r="M556" s="58"/>
      <c r="O556" s="49"/>
    </row>
    <row r="557" ht="15.75" customHeight="1">
      <c r="A557" s="58"/>
      <c r="C557" s="49"/>
      <c r="D557" s="58"/>
      <c r="F557" s="49"/>
      <c r="G557" s="58"/>
      <c r="I557" s="49"/>
      <c r="J557" s="58"/>
      <c r="L557" s="49"/>
      <c r="M557" s="58"/>
      <c r="O557" s="49"/>
    </row>
    <row r="558" ht="15.75" customHeight="1">
      <c r="A558" s="58"/>
      <c r="C558" s="49"/>
      <c r="D558" s="58"/>
      <c r="F558" s="49"/>
      <c r="G558" s="58"/>
      <c r="I558" s="49"/>
      <c r="J558" s="58"/>
      <c r="L558" s="49"/>
      <c r="M558" s="58"/>
      <c r="O558" s="49"/>
    </row>
    <row r="559" ht="15.75" customHeight="1">
      <c r="A559" s="58"/>
      <c r="C559" s="49"/>
      <c r="D559" s="58"/>
      <c r="F559" s="49"/>
      <c r="G559" s="58"/>
      <c r="I559" s="49"/>
      <c r="J559" s="58"/>
      <c r="L559" s="49"/>
      <c r="M559" s="58"/>
      <c r="O559" s="49"/>
    </row>
    <row r="560" ht="15.75" customHeight="1">
      <c r="A560" s="58"/>
      <c r="C560" s="49"/>
      <c r="D560" s="58"/>
      <c r="F560" s="49"/>
      <c r="G560" s="58"/>
      <c r="I560" s="49"/>
      <c r="J560" s="58"/>
      <c r="L560" s="49"/>
      <c r="M560" s="58"/>
      <c r="O560" s="49"/>
    </row>
    <row r="561" ht="15.75" customHeight="1">
      <c r="A561" s="58"/>
      <c r="C561" s="49"/>
      <c r="D561" s="58"/>
      <c r="F561" s="49"/>
      <c r="G561" s="58"/>
      <c r="I561" s="49"/>
      <c r="J561" s="58"/>
      <c r="L561" s="49"/>
      <c r="M561" s="58"/>
      <c r="O561" s="49"/>
    </row>
    <row r="562" ht="15.75" customHeight="1">
      <c r="A562" s="58"/>
      <c r="C562" s="49"/>
      <c r="D562" s="58"/>
      <c r="F562" s="49"/>
      <c r="G562" s="58"/>
      <c r="I562" s="49"/>
      <c r="J562" s="58"/>
      <c r="L562" s="49"/>
      <c r="M562" s="58"/>
      <c r="O562" s="49"/>
    </row>
    <row r="563" ht="15.75" customHeight="1">
      <c r="A563" s="58"/>
      <c r="C563" s="49"/>
      <c r="D563" s="58"/>
      <c r="F563" s="49"/>
      <c r="G563" s="58"/>
      <c r="I563" s="49"/>
      <c r="J563" s="58"/>
      <c r="L563" s="49"/>
      <c r="M563" s="58"/>
      <c r="O563" s="49"/>
    </row>
    <row r="564" ht="15.75" customHeight="1">
      <c r="A564" s="58"/>
      <c r="C564" s="49"/>
      <c r="D564" s="58"/>
      <c r="F564" s="49"/>
      <c r="G564" s="58"/>
      <c r="I564" s="49"/>
      <c r="J564" s="58"/>
      <c r="L564" s="49"/>
      <c r="M564" s="58"/>
      <c r="O564" s="49"/>
    </row>
    <row r="565" ht="15.75" customHeight="1">
      <c r="A565" s="58"/>
      <c r="C565" s="49"/>
      <c r="D565" s="58"/>
      <c r="F565" s="49"/>
      <c r="G565" s="58"/>
      <c r="I565" s="49"/>
      <c r="J565" s="58"/>
      <c r="L565" s="49"/>
      <c r="M565" s="58"/>
      <c r="O565" s="49"/>
    </row>
    <row r="566" ht="15.75" customHeight="1">
      <c r="A566" s="58"/>
      <c r="C566" s="49"/>
      <c r="D566" s="58"/>
      <c r="F566" s="49"/>
      <c r="G566" s="58"/>
      <c r="I566" s="49"/>
      <c r="J566" s="58"/>
      <c r="L566" s="49"/>
      <c r="M566" s="58"/>
      <c r="O566" s="49"/>
    </row>
    <row r="567" ht="15.75" customHeight="1">
      <c r="A567" s="58"/>
      <c r="C567" s="49"/>
      <c r="D567" s="58"/>
      <c r="F567" s="49"/>
      <c r="G567" s="58"/>
      <c r="I567" s="49"/>
      <c r="J567" s="58"/>
      <c r="L567" s="49"/>
      <c r="M567" s="58"/>
      <c r="O567" s="49"/>
    </row>
    <row r="568" ht="15.75" customHeight="1">
      <c r="A568" s="58"/>
      <c r="C568" s="49"/>
      <c r="D568" s="58"/>
      <c r="F568" s="49"/>
      <c r="G568" s="58"/>
      <c r="I568" s="49"/>
      <c r="J568" s="58"/>
      <c r="L568" s="49"/>
      <c r="M568" s="58"/>
      <c r="O568" s="49"/>
    </row>
    <row r="569" ht="15.75" customHeight="1">
      <c r="A569" s="58"/>
      <c r="C569" s="49"/>
      <c r="D569" s="58"/>
      <c r="F569" s="49"/>
      <c r="G569" s="58"/>
      <c r="I569" s="49"/>
      <c r="J569" s="58"/>
      <c r="L569" s="49"/>
      <c r="M569" s="58"/>
      <c r="O569" s="49"/>
    </row>
    <row r="570" ht="15.75" customHeight="1">
      <c r="A570" s="58"/>
      <c r="C570" s="49"/>
      <c r="D570" s="58"/>
      <c r="F570" s="49"/>
      <c r="G570" s="58"/>
      <c r="I570" s="49"/>
      <c r="J570" s="58"/>
      <c r="L570" s="49"/>
      <c r="M570" s="58"/>
      <c r="O570" s="49"/>
    </row>
    <row r="571" ht="15.75" customHeight="1">
      <c r="A571" s="58"/>
      <c r="C571" s="49"/>
      <c r="D571" s="58"/>
      <c r="F571" s="49"/>
      <c r="G571" s="58"/>
      <c r="I571" s="49"/>
      <c r="J571" s="58"/>
      <c r="L571" s="49"/>
      <c r="M571" s="58"/>
      <c r="O571" s="49"/>
    </row>
    <row r="572" ht="15.75" customHeight="1">
      <c r="A572" s="58"/>
      <c r="C572" s="49"/>
      <c r="D572" s="58"/>
      <c r="F572" s="49"/>
      <c r="G572" s="58"/>
      <c r="I572" s="49"/>
      <c r="J572" s="58"/>
      <c r="L572" s="49"/>
      <c r="M572" s="58"/>
      <c r="O572" s="49"/>
    </row>
    <row r="573" ht="15.75" customHeight="1">
      <c r="A573" s="58"/>
      <c r="C573" s="49"/>
      <c r="D573" s="58"/>
      <c r="F573" s="49"/>
      <c r="G573" s="58"/>
      <c r="I573" s="49"/>
      <c r="J573" s="58"/>
      <c r="L573" s="49"/>
      <c r="M573" s="58"/>
      <c r="O573" s="49"/>
    </row>
    <row r="574" ht="15.75" customHeight="1">
      <c r="A574" s="58"/>
      <c r="C574" s="49"/>
      <c r="D574" s="58"/>
      <c r="F574" s="49"/>
      <c r="G574" s="58"/>
      <c r="I574" s="49"/>
      <c r="J574" s="58"/>
      <c r="L574" s="49"/>
      <c r="M574" s="58"/>
      <c r="O574" s="49"/>
    </row>
    <row r="575" ht="15.75" customHeight="1">
      <c r="A575" s="58"/>
      <c r="C575" s="49"/>
      <c r="D575" s="58"/>
      <c r="F575" s="49"/>
      <c r="G575" s="58"/>
      <c r="I575" s="49"/>
      <c r="J575" s="58"/>
      <c r="L575" s="49"/>
      <c r="M575" s="58"/>
      <c r="O575" s="49"/>
    </row>
    <row r="576" ht="15.75" customHeight="1">
      <c r="A576" s="58"/>
      <c r="C576" s="49"/>
      <c r="D576" s="58"/>
      <c r="F576" s="49"/>
      <c r="G576" s="58"/>
      <c r="I576" s="49"/>
      <c r="J576" s="58"/>
      <c r="L576" s="49"/>
      <c r="M576" s="58"/>
      <c r="O576" s="49"/>
    </row>
    <row r="577" ht="15.75" customHeight="1">
      <c r="A577" s="58"/>
      <c r="C577" s="49"/>
      <c r="D577" s="58"/>
      <c r="F577" s="49"/>
      <c r="G577" s="58"/>
      <c r="I577" s="49"/>
      <c r="J577" s="58"/>
      <c r="L577" s="49"/>
      <c r="M577" s="58"/>
      <c r="O577" s="49"/>
    </row>
    <row r="578" ht="15.75" customHeight="1">
      <c r="A578" s="58"/>
      <c r="C578" s="49"/>
      <c r="D578" s="58"/>
      <c r="F578" s="49"/>
      <c r="G578" s="58"/>
      <c r="I578" s="49"/>
      <c r="J578" s="58"/>
      <c r="L578" s="49"/>
      <c r="M578" s="58"/>
      <c r="O578" s="49"/>
    </row>
    <row r="579" ht="15.75" customHeight="1">
      <c r="A579" s="58"/>
      <c r="C579" s="49"/>
      <c r="D579" s="58"/>
      <c r="F579" s="49"/>
      <c r="G579" s="58"/>
      <c r="I579" s="49"/>
      <c r="J579" s="58"/>
      <c r="L579" s="49"/>
      <c r="M579" s="58"/>
      <c r="O579" s="49"/>
    </row>
    <row r="580" ht="15.75" customHeight="1">
      <c r="A580" s="58"/>
      <c r="C580" s="49"/>
      <c r="D580" s="58"/>
      <c r="F580" s="49"/>
      <c r="G580" s="58"/>
      <c r="I580" s="49"/>
      <c r="J580" s="58"/>
      <c r="L580" s="49"/>
      <c r="M580" s="58"/>
      <c r="O580" s="49"/>
    </row>
    <row r="581" ht="15.75" customHeight="1">
      <c r="A581" s="58"/>
      <c r="C581" s="49"/>
      <c r="D581" s="58"/>
      <c r="F581" s="49"/>
      <c r="G581" s="58"/>
      <c r="I581" s="49"/>
      <c r="J581" s="58"/>
      <c r="L581" s="49"/>
      <c r="M581" s="58"/>
      <c r="O581" s="49"/>
    </row>
    <row r="582" ht="15.75" customHeight="1">
      <c r="A582" s="58"/>
      <c r="C582" s="49"/>
      <c r="D582" s="58"/>
      <c r="F582" s="49"/>
      <c r="G582" s="58"/>
      <c r="I582" s="49"/>
      <c r="J582" s="58"/>
      <c r="L582" s="49"/>
      <c r="M582" s="58"/>
      <c r="O582" s="49"/>
    </row>
    <row r="583" ht="15.75" customHeight="1">
      <c r="A583" s="58"/>
      <c r="C583" s="49"/>
      <c r="D583" s="58"/>
      <c r="F583" s="49"/>
      <c r="G583" s="58"/>
      <c r="I583" s="49"/>
      <c r="J583" s="58"/>
      <c r="L583" s="49"/>
      <c r="M583" s="58"/>
      <c r="O583" s="49"/>
    </row>
    <row r="584" ht="15.75" customHeight="1">
      <c r="A584" s="58"/>
      <c r="C584" s="49"/>
      <c r="D584" s="58"/>
      <c r="F584" s="49"/>
      <c r="G584" s="58"/>
      <c r="I584" s="49"/>
      <c r="J584" s="58"/>
      <c r="L584" s="49"/>
      <c r="M584" s="58"/>
      <c r="O584" s="49"/>
    </row>
    <row r="585" ht="15.75" customHeight="1">
      <c r="A585" s="58"/>
      <c r="C585" s="49"/>
      <c r="D585" s="58"/>
      <c r="F585" s="49"/>
      <c r="G585" s="58"/>
      <c r="I585" s="49"/>
      <c r="J585" s="58"/>
      <c r="L585" s="49"/>
      <c r="M585" s="58"/>
      <c r="O585" s="49"/>
    </row>
    <row r="586" ht="15.75" customHeight="1">
      <c r="A586" s="58"/>
      <c r="C586" s="49"/>
      <c r="D586" s="58"/>
      <c r="F586" s="49"/>
      <c r="G586" s="58"/>
      <c r="I586" s="49"/>
      <c r="J586" s="58"/>
      <c r="L586" s="49"/>
      <c r="M586" s="58"/>
      <c r="O586" s="49"/>
    </row>
    <row r="587" ht="15.75" customHeight="1">
      <c r="A587" s="58"/>
      <c r="C587" s="49"/>
      <c r="D587" s="58"/>
      <c r="F587" s="49"/>
      <c r="G587" s="58"/>
      <c r="I587" s="49"/>
      <c r="J587" s="58"/>
      <c r="L587" s="49"/>
      <c r="M587" s="58"/>
      <c r="O587" s="49"/>
    </row>
    <row r="588" ht="15.75" customHeight="1">
      <c r="A588" s="58"/>
      <c r="C588" s="49"/>
      <c r="D588" s="58"/>
      <c r="F588" s="49"/>
      <c r="G588" s="58"/>
      <c r="I588" s="49"/>
      <c r="J588" s="58"/>
      <c r="L588" s="49"/>
      <c r="M588" s="58"/>
      <c r="O588" s="49"/>
    </row>
    <row r="589" ht="15.75" customHeight="1">
      <c r="A589" s="58"/>
      <c r="C589" s="49"/>
      <c r="D589" s="58"/>
      <c r="F589" s="49"/>
      <c r="G589" s="58"/>
      <c r="I589" s="49"/>
      <c r="J589" s="58"/>
      <c r="L589" s="49"/>
      <c r="M589" s="58"/>
      <c r="O589" s="49"/>
    </row>
    <row r="590" ht="15.75" customHeight="1">
      <c r="A590" s="58"/>
      <c r="C590" s="49"/>
      <c r="D590" s="58"/>
      <c r="F590" s="49"/>
      <c r="G590" s="58"/>
      <c r="I590" s="49"/>
      <c r="J590" s="58"/>
      <c r="L590" s="49"/>
      <c r="M590" s="58"/>
      <c r="O590" s="49"/>
    </row>
    <row r="591" ht="15.75" customHeight="1">
      <c r="A591" s="58"/>
      <c r="C591" s="49"/>
      <c r="D591" s="58"/>
      <c r="F591" s="49"/>
      <c r="G591" s="58"/>
      <c r="I591" s="49"/>
      <c r="J591" s="58"/>
      <c r="L591" s="49"/>
      <c r="M591" s="58"/>
      <c r="O591" s="49"/>
    </row>
    <row r="592" ht="15.75" customHeight="1">
      <c r="A592" s="58"/>
      <c r="C592" s="49"/>
      <c r="D592" s="58"/>
      <c r="F592" s="49"/>
      <c r="G592" s="58"/>
      <c r="I592" s="49"/>
      <c r="J592" s="58"/>
      <c r="L592" s="49"/>
      <c r="M592" s="58"/>
      <c r="O592" s="49"/>
    </row>
    <row r="593" ht="15.75" customHeight="1">
      <c r="A593" s="58"/>
      <c r="C593" s="49"/>
      <c r="D593" s="58"/>
      <c r="F593" s="49"/>
      <c r="G593" s="58"/>
      <c r="I593" s="49"/>
      <c r="J593" s="58"/>
      <c r="L593" s="49"/>
      <c r="M593" s="58"/>
      <c r="O593" s="49"/>
    </row>
    <row r="594" ht="15.75" customHeight="1">
      <c r="A594" s="58"/>
      <c r="C594" s="49"/>
      <c r="D594" s="58"/>
      <c r="F594" s="49"/>
      <c r="G594" s="58"/>
      <c r="I594" s="49"/>
      <c r="J594" s="58"/>
      <c r="L594" s="49"/>
      <c r="M594" s="58"/>
      <c r="O594" s="49"/>
    </row>
    <row r="595" ht="15.75" customHeight="1">
      <c r="A595" s="58"/>
      <c r="C595" s="49"/>
      <c r="D595" s="58"/>
      <c r="F595" s="49"/>
      <c r="G595" s="58"/>
      <c r="I595" s="49"/>
      <c r="J595" s="58"/>
      <c r="L595" s="49"/>
      <c r="M595" s="58"/>
      <c r="O595" s="49"/>
    </row>
    <row r="596" ht="15.75" customHeight="1">
      <c r="A596" s="58"/>
      <c r="C596" s="49"/>
      <c r="D596" s="58"/>
      <c r="F596" s="49"/>
      <c r="G596" s="58"/>
      <c r="I596" s="49"/>
      <c r="J596" s="58"/>
      <c r="L596" s="49"/>
      <c r="M596" s="58"/>
      <c r="O596" s="49"/>
    </row>
    <row r="597" ht="15.75" customHeight="1">
      <c r="A597" s="58"/>
      <c r="C597" s="49"/>
      <c r="D597" s="58"/>
      <c r="F597" s="49"/>
      <c r="G597" s="58"/>
      <c r="I597" s="49"/>
      <c r="J597" s="58"/>
      <c r="L597" s="49"/>
      <c r="M597" s="58"/>
      <c r="O597" s="49"/>
    </row>
    <row r="598" ht="15.75" customHeight="1">
      <c r="A598" s="58"/>
      <c r="C598" s="49"/>
      <c r="D598" s="58"/>
      <c r="F598" s="49"/>
      <c r="G598" s="58"/>
      <c r="I598" s="49"/>
      <c r="J598" s="58"/>
      <c r="L598" s="49"/>
      <c r="M598" s="58"/>
      <c r="O598" s="49"/>
    </row>
    <row r="599" ht="15.75" customHeight="1">
      <c r="A599" s="58"/>
      <c r="C599" s="49"/>
      <c r="D599" s="58"/>
      <c r="F599" s="49"/>
      <c r="G599" s="58"/>
      <c r="I599" s="49"/>
      <c r="J599" s="58"/>
      <c r="L599" s="49"/>
      <c r="M599" s="58"/>
      <c r="O599" s="49"/>
    </row>
    <row r="600" ht="15.75" customHeight="1">
      <c r="A600" s="58"/>
      <c r="C600" s="49"/>
      <c r="D600" s="58"/>
      <c r="F600" s="49"/>
      <c r="G600" s="58"/>
      <c r="I600" s="49"/>
      <c r="J600" s="58"/>
      <c r="L600" s="49"/>
      <c r="M600" s="58"/>
      <c r="O600" s="49"/>
    </row>
    <row r="601" ht="15.75" customHeight="1">
      <c r="A601" s="58"/>
      <c r="C601" s="49"/>
      <c r="D601" s="58"/>
      <c r="F601" s="49"/>
      <c r="G601" s="58"/>
      <c r="I601" s="49"/>
      <c r="J601" s="58"/>
      <c r="L601" s="49"/>
      <c r="M601" s="58"/>
      <c r="O601" s="49"/>
    </row>
    <row r="602" ht="15.75" customHeight="1">
      <c r="A602" s="58"/>
      <c r="C602" s="49"/>
      <c r="D602" s="58"/>
      <c r="F602" s="49"/>
      <c r="G602" s="58"/>
      <c r="I602" s="49"/>
      <c r="J602" s="58"/>
      <c r="L602" s="49"/>
      <c r="M602" s="58"/>
      <c r="O602" s="49"/>
    </row>
    <row r="603" ht="15.75" customHeight="1">
      <c r="A603" s="58"/>
      <c r="C603" s="49"/>
      <c r="D603" s="58"/>
      <c r="F603" s="49"/>
      <c r="G603" s="58"/>
      <c r="I603" s="49"/>
      <c r="J603" s="58"/>
      <c r="L603" s="49"/>
      <c r="M603" s="58"/>
      <c r="O603" s="49"/>
    </row>
    <row r="604" ht="15.75" customHeight="1">
      <c r="A604" s="58"/>
      <c r="C604" s="49"/>
      <c r="D604" s="58"/>
      <c r="F604" s="49"/>
      <c r="G604" s="58"/>
      <c r="I604" s="49"/>
      <c r="J604" s="58"/>
      <c r="L604" s="49"/>
      <c r="M604" s="58"/>
      <c r="O604" s="49"/>
    </row>
    <row r="605" ht="15.75" customHeight="1">
      <c r="A605" s="58"/>
      <c r="C605" s="49"/>
      <c r="D605" s="58"/>
      <c r="F605" s="49"/>
      <c r="G605" s="58"/>
      <c r="I605" s="49"/>
      <c r="J605" s="58"/>
      <c r="L605" s="49"/>
      <c r="M605" s="58"/>
      <c r="O605" s="49"/>
    </row>
    <row r="606" ht="15.75" customHeight="1">
      <c r="A606" s="58"/>
      <c r="C606" s="49"/>
      <c r="D606" s="58"/>
      <c r="F606" s="49"/>
      <c r="G606" s="58"/>
      <c r="I606" s="49"/>
      <c r="J606" s="58"/>
      <c r="L606" s="49"/>
      <c r="M606" s="58"/>
      <c r="O606" s="49"/>
    </row>
    <row r="607" ht="15.75" customHeight="1">
      <c r="A607" s="58"/>
      <c r="C607" s="49"/>
      <c r="D607" s="58"/>
      <c r="F607" s="49"/>
      <c r="G607" s="58"/>
      <c r="I607" s="49"/>
      <c r="J607" s="58"/>
      <c r="L607" s="49"/>
      <c r="M607" s="58"/>
      <c r="O607" s="49"/>
    </row>
    <row r="608" ht="15.75" customHeight="1">
      <c r="A608" s="58"/>
      <c r="C608" s="49"/>
      <c r="D608" s="58"/>
      <c r="F608" s="49"/>
      <c r="G608" s="58"/>
      <c r="I608" s="49"/>
      <c r="J608" s="58"/>
      <c r="L608" s="49"/>
      <c r="M608" s="58"/>
      <c r="O608" s="49"/>
    </row>
    <row r="609" ht="15.75" customHeight="1">
      <c r="A609" s="58"/>
      <c r="C609" s="49"/>
      <c r="D609" s="58"/>
      <c r="F609" s="49"/>
      <c r="G609" s="58"/>
      <c r="I609" s="49"/>
      <c r="J609" s="58"/>
      <c r="L609" s="49"/>
      <c r="M609" s="58"/>
      <c r="O609" s="49"/>
    </row>
    <row r="610" ht="15.75" customHeight="1">
      <c r="A610" s="58"/>
      <c r="C610" s="49"/>
      <c r="D610" s="58"/>
      <c r="F610" s="49"/>
      <c r="G610" s="58"/>
      <c r="I610" s="49"/>
      <c r="J610" s="58"/>
      <c r="L610" s="49"/>
      <c r="M610" s="58"/>
      <c r="O610" s="49"/>
    </row>
    <row r="611" ht="15.75" customHeight="1">
      <c r="A611" s="58"/>
      <c r="C611" s="49"/>
      <c r="D611" s="58"/>
      <c r="F611" s="49"/>
      <c r="G611" s="58"/>
      <c r="I611" s="49"/>
      <c r="J611" s="58"/>
      <c r="L611" s="49"/>
      <c r="M611" s="58"/>
      <c r="O611" s="49"/>
    </row>
    <row r="612" ht="15.75" customHeight="1">
      <c r="A612" s="58"/>
      <c r="C612" s="49"/>
      <c r="D612" s="58"/>
      <c r="F612" s="49"/>
      <c r="G612" s="58"/>
      <c r="I612" s="49"/>
      <c r="J612" s="58"/>
      <c r="L612" s="49"/>
      <c r="M612" s="58"/>
      <c r="O612" s="49"/>
    </row>
    <row r="613" ht="15.75" customHeight="1">
      <c r="A613" s="58"/>
      <c r="C613" s="49"/>
      <c r="D613" s="58"/>
      <c r="F613" s="49"/>
      <c r="G613" s="58"/>
      <c r="I613" s="49"/>
      <c r="J613" s="58"/>
      <c r="L613" s="49"/>
      <c r="M613" s="58"/>
      <c r="O613" s="49"/>
    </row>
    <row r="614" ht="15.75" customHeight="1">
      <c r="A614" s="58"/>
      <c r="C614" s="49"/>
      <c r="D614" s="58"/>
      <c r="F614" s="49"/>
      <c r="G614" s="58"/>
      <c r="I614" s="49"/>
      <c r="J614" s="58"/>
      <c r="L614" s="49"/>
      <c r="M614" s="58"/>
      <c r="O614" s="49"/>
    </row>
    <row r="615" ht="15.75" customHeight="1">
      <c r="A615" s="58"/>
      <c r="C615" s="49"/>
      <c r="D615" s="58"/>
      <c r="F615" s="49"/>
      <c r="G615" s="58"/>
      <c r="I615" s="49"/>
      <c r="J615" s="58"/>
      <c r="L615" s="49"/>
      <c r="M615" s="58"/>
      <c r="O615" s="49"/>
    </row>
    <row r="616" ht="15.75" customHeight="1">
      <c r="A616" s="58"/>
      <c r="C616" s="49"/>
      <c r="D616" s="58"/>
      <c r="F616" s="49"/>
      <c r="G616" s="58"/>
      <c r="I616" s="49"/>
      <c r="J616" s="58"/>
      <c r="L616" s="49"/>
      <c r="M616" s="58"/>
      <c r="O616" s="49"/>
    </row>
    <row r="617" ht="15.75" customHeight="1">
      <c r="A617" s="58"/>
      <c r="C617" s="49"/>
      <c r="D617" s="58"/>
      <c r="F617" s="49"/>
      <c r="G617" s="58"/>
      <c r="I617" s="49"/>
      <c r="J617" s="58"/>
      <c r="L617" s="49"/>
      <c r="M617" s="58"/>
      <c r="O617" s="49"/>
    </row>
    <row r="618" ht="15.75" customHeight="1">
      <c r="A618" s="58"/>
      <c r="C618" s="49"/>
      <c r="D618" s="58"/>
      <c r="F618" s="49"/>
      <c r="G618" s="58"/>
      <c r="I618" s="49"/>
      <c r="J618" s="58"/>
      <c r="L618" s="49"/>
      <c r="M618" s="58"/>
      <c r="O618" s="49"/>
    </row>
    <row r="619" ht="15.75" customHeight="1">
      <c r="A619" s="58"/>
      <c r="C619" s="49"/>
      <c r="D619" s="58"/>
      <c r="F619" s="49"/>
      <c r="G619" s="58"/>
      <c r="I619" s="49"/>
      <c r="J619" s="58"/>
      <c r="L619" s="49"/>
      <c r="M619" s="58"/>
      <c r="O619" s="49"/>
    </row>
    <row r="620" ht="15.75" customHeight="1">
      <c r="A620" s="58"/>
      <c r="C620" s="49"/>
      <c r="D620" s="58"/>
      <c r="F620" s="49"/>
      <c r="G620" s="58"/>
      <c r="I620" s="49"/>
      <c r="J620" s="58"/>
      <c r="L620" s="49"/>
      <c r="M620" s="58"/>
      <c r="O620" s="49"/>
    </row>
    <row r="621" ht="15.75" customHeight="1">
      <c r="A621" s="58"/>
      <c r="C621" s="49"/>
      <c r="D621" s="58"/>
      <c r="F621" s="49"/>
      <c r="G621" s="58"/>
      <c r="I621" s="49"/>
      <c r="J621" s="58"/>
      <c r="L621" s="49"/>
      <c r="M621" s="58"/>
      <c r="O621" s="49"/>
    </row>
    <row r="622" ht="15.75" customHeight="1">
      <c r="A622" s="58"/>
      <c r="C622" s="49"/>
      <c r="D622" s="58"/>
      <c r="F622" s="49"/>
      <c r="G622" s="58"/>
      <c r="I622" s="49"/>
      <c r="J622" s="58"/>
      <c r="L622" s="49"/>
      <c r="M622" s="58"/>
      <c r="O622" s="49"/>
    </row>
    <row r="623" ht="15.75" customHeight="1">
      <c r="A623" s="58"/>
      <c r="C623" s="49"/>
      <c r="D623" s="58"/>
      <c r="F623" s="49"/>
      <c r="G623" s="58"/>
      <c r="I623" s="49"/>
      <c r="J623" s="58"/>
      <c r="L623" s="49"/>
      <c r="M623" s="58"/>
      <c r="O623" s="49"/>
    </row>
    <row r="624" ht="15.75" customHeight="1">
      <c r="A624" s="58"/>
      <c r="C624" s="49"/>
      <c r="D624" s="58"/>
      <c r="F624" s="49"/>
      <c r="G624" s="58"/>
      <c r="I624" s="49"/>
      <c r="J624" s="58"/>
      <c r="L624" s="49"/>
      <c r="M624" s="58"/>
      <c r="O624" s="49"/>
    </row>
    <row r="625" ht="15.75" customHeight="1">
      <c r="A625" s="58"/>
      <c r="C625" s="49"/>
      <c r="D625" s="58"/>
      <c r="F625" s="49"/>
      <c r="G625" s="58"/>
      <c r="I625" s="49"/>
      <c r="J625" s="58"/>
      <c r="L625" s="49"/>
      <c r="M625" s="58"/>
      <c r="O625" s="49"/>
    </row>
    <row r="626" ht="15.75" customHeight="1">
      <c r="A626" s="58"/>
      <c r="C626" s="49"/>
      <c r="D626" s="58"/>
      <c r="F626" s="49"/>
      <c r="G626" s="58"/>
      <c r="I626" s="49"/>
      <c r="J626" s="58"/>
      <c r="L626" s="49"/>
      <c r="M626" s="58"/>
      <c r="O626" s="49"/>
    </row>
    <row r="627" ht="15.75" customHeight="1">
      <c r="A627" s="58"/>
      <c r="C627" s="49"/>
      <c r="D627" s="58"/>
      <c r="F627" s="49"/>
      <c r="G627" s="58"/>
      <c r="I627" s="49"/>
      <c r="J627" s="58"/>
      <c r="L627" s="49"/>
      <c r="M627" s="58"/>
      <c r="O627" s="49"/>
    </row>
    <row r="628" ht="15.75" customHeight="1">
      <c r="A628" s="58"/>
      <c r="C628" s="49"/>
      <c r="D628" s="58"/>
      <c r="F628" s="49"/>
      <c r="G628" s="58"/>
      <c r="I628" s="49"/>
      <c r="J628" s="58"/>
      <c r="L628" s="49"/>
      <c r="M628" s="58"/>
      <c r="O628" s="49"/>
    </row>
    <row r="629" ht="15.75" customHeight="1">
      <c r="A629" s="58"/>
      <c r="C629" s="49"/>
      <c r="D629" s="58"/>
      <c r="F629" s="49"/>
      <c r="G629" s="58"/>
      <c r="I629" s="49"/>
      <c r="J629" s="58"/>
      <c r="L629" s="49"/>
      <c r="M629" s="58"/>
      <c r="O629" s="49"/>
    </row>
    <row r="630" ht="15.75" customHeight="1">
      <c r="A630" s="58"/>
      <c r="C630" s="49"/>
      <c r="D630" s="58"/>
      <c r="F630" s="49"/>
      <c r="G630" s="58"/>
      <c r="I630" s="49"/>
      <c r="J630" s="58"/>
      <c r="L630" s="49"/>
      <c r="M630" s="58"/>
      <c r="O630" s="49"/>
    </row>
    <row r="631" ht="15.75" customHeight="1">
      <c r="A631" s="58"/>
      <c r="C631" s="49"/>
      <c r="D631" s="58"/>
      <c r="F631" s="49"/>
      <c r="G631" s="58"/>
      <c r="I631" s="49"/>
      <c r="J631" s="58"/>
      <c r="L631" s="49"/>
      <c r="M631" s="58"/>
      <c r="O631" s="49"/>
    </row>
    <row r="632" ht="15.75" customHeight="1">
      <c r="A632" s="58"/>
      <c r="C632" s="49"/>
      <c r="D632" s="58"/>
      <c r="F632" s="49"/>
      <c r="G632" s="58"/>
      <c r="I632" s="49"/>
      <c r="J632" s="58"/>
      <c r="L632" s="49"/>
      <c r="M632" s="58"/>
      <c r="O632" s="49"/>
    </row>
    <row r="633" ht="15.75" customHeight="1">
      <c r="A633" s="58"/>
      <c r="C633" s="49"/>
      <c r="D633" s="58"/>
      <c r="F633" s="49"/>
      <c r="G633" s="58"/>
      <c r="I633" s="49"/>
      <c r="J633" s="58"/>
      <c r="L633" s="49"/>
      <c r="M633" s="58"/>
      <c r="O633" s="49"/>
    </row>
    <row r="634" ht="15.75" customHeight="1">
      <c r="A634" s="58"/>
      <c r="C634" s="49"/>
      <c r="D634" s="58"/>
      <c r="F634" s="49"/>
      <c r="G634" s="58"/>
      <c r="I634" s="49"/>
      <c r="J634" s="58"/>
      <c r="L634" s="49"/>
      <c r="M634" s="58"/>
      <c r="O634" s="49"/>
    </row>
    <row r="635" ht="15.75" customHeight="1">
      <c r="A635" s="58"/>
      <c r="C635" s="49"/>
      <c r="D635" s="58"/>
      <c r="F635" s="49"/>
      <c r="G635" s="58"/>
      <c r="I635" s="49"/>
      <c r="J635" s="58"/>
      <c r="L635" s="49"/>
      <c r="M635" s="58"/>
      <c r="O635" s="49"/>
    </row>
    <row r="636" ht="15.75" customHeight="1">
      <c r="A636" s="58"/>
      <c r="C636" s="49"/>
      <c r="D636" s="58"/>
      <c r="F636" s="49"/>
      <c r="G636" s="58"/>
      <c r="I636" s="49"/>
      <c r="J636" s="58"/>
      <c r="L636" s="49"/>
      <c r="M636" s="58"/>
      <c r="O636" s="49"/>
    </row>
    <row r="637" ht="15.75" customHeight="1">
      <c r="A637" s="58"/>
      <c r="C637" s="49"/>
      <c r="D637" s="58"/>
      <c r="F637" s="49"/>
      <c r="G637" s="58"/>
      <c r="I637" s="49"/>
      <c r="J637" s="58"/>
      <c r="L637" s="49"/>
      <c r="M637" s="58"/>
      <c r="O637" s="49"/>
    </row>
    <row r="638" ht="15.75" customHeight="1">
      <c r="A638" s="58"/>
      <c r="C638" s="49"/>
      <c r="D638" s="58"/>
      <c r="F638" s="49"/>
      <c r="G638" s="58"/>
      <c r="I638" s="49"/>
      <c r="J638" s="58"/>
      <c r="L638" s="49"/>
      <c r="M638" s="58"/>
      <c r="O638" s="49"/>
    </row>
    <row r="639" ht="15.75" customHeight="1">
      <c r="A639" s="58"/>
      <c r="C639" s="49"/>
      <c r="D639" s="58"/>
      <c r="F639" s="49"/>
      <c r="G639" s="58"/>
      <c r="I639" s="49"/>
      <c r="J639" s="58"/>
      <c r="L639" s="49"/>
      <c r="M639" s="58"/>
      <c r="O639" s="49"/>
    </row>
    <row r="640" ht="15.75" customHeight="1">
      <c r="A640" s="58"/>
      <c r="C640" s="49"/>
      <c r="D640" s="58"/>
      <c r="F640" s="49"/>
      <c r="G640" s="58"/>
      <c r="I640" s="49"/>
      <c r="J640" s="58"/>
      <c r="L640" s="49"/>
      <c r="M640" s="58"/>
      <c r="O640" s="49"/>
    </row>
    <row r="641" ht="15.75" customHeight="1">
      <c r="A641" s="58"/>
      <c r="C641" s="49"/>
      <c r="D641" s="58"/>
      <c r="F641" s="49"/>
      <c r="G641" s="58"/>
      <c r="I641" s="49"/>
      <c r="J641" s="58"/>
      <c r="L641" s="49"/>
      <c r="M641" s="58"/>
      <c r="O641" s="49"/>
    </row>
    <row r="642" ht="15.75" customHeight="1">
      <c r="A642" s="58"/>
      <c r="C642" s="49"/>
      <c r="D642" s="58"/>
      <c r="F642" s="49"/>
      <c r="G642" s="58"/>
      <c r="I642" s="49"/>
      <c r="J642" s="58"/>
      <c r="L642" s="49"/>
      <c r="M642" s="58"/>
      <c r="O642" s="49"/>
    </row>
    <row r="643" ht="15.75" customHeight="1">
      <c r="A643" s="58"/>
      <c r="C643" s="49"/>
      <c r="D643" s="58"/>
      <c r="F643" s="49"/>
      <c r="G643" s="58"/>
      <c r="I643" s="49"/>
      <c r="J643" s="58"/>
      <c r="L643" s="49"/>
      <c r="M643" s="58"/>
      <c r="O643" s="49"/>
    </row>
    <row r="644" ht="15.75" customHeight="1">
      <c r="A644" s="58"/>
      <c r="C644" s="49"/>
      <c r="D644" s="58"/>
      <c r="F644" s="49"/>
      <c r="G644" s="58"/>
      <c r="I644" s="49"/>
      <c r="J644" s="58"/>
      <c r="L644" s="49"/>
      <c r="M644" s="58"/>
      <c r="O644" s="49"/>
    </row>
    <row r="645" ht="15.75" customHeight="1">
      <c r="A645" s="58"/>
      <c r="C645" s="49"/>
      <c r="D645" s="58"/>
      <c r="F645" s="49"/>
      <c r="G645" s="58"/>
      <c r="I645" s="49"/>
      <c r="J645" s="58"/>
      <c r="L645" s="49"/>
      <c r="M645" s="58"/>
      <c r="O645" s="49"/>
    </row>
    <row r="646" ht="15.75" customHeight="1">
      <c r="A646" s="58"/>
      <c r="C646" s="49"/>
      <c r="D646" s="58"/>
      <c r="F646" s="49"/>
      <c r="G646" s="58"/>
      <c r="I646" s="49"/>
      <c r="J646" s="58"/>
      <c r="L646" s="49"/>
      <c r="M646" s="58"/>
      <c r="O646" s="49"/>
    </row>
    <row r="647" ht="15.75" customHeight="1">
      <c r="A647" s="58"/>
      <c r="C647" s="49"/>
      <c r="D647" s="58"/>
      <c r="F647" s="49"/>
      <c r="G647" s="58"/>
      <c r="I647" s="49"/>
      <c r="J647" s="58"/>
      <c r="L647" s="49"/>
      <c r="M647" s="58"/>
      <c r="O647" s="49"/>
    </row>
    <row r="648" ht="15.75" customHeight="1">
      <c r="A648" s="58"/>
      <c r="C648" s="49"/>
      <c r="D648" s="58"/>
      <c r="F648" s="49"/>
      <c r="G648" s="58"/>
      <c r="I648" s="49"/>
      <c r="J648" s="58"/>
      <c r="L648" s="49"/>
      <c r="M648" s="58"/>
      <c r="O648" s="49"/>
    </row>
    <row r="649" ht="15.75" customHeight="1">
      <c r="A649" s="58"/>
      <c r="C649" s="49"/>
      <c r="D649" s="58"/>
      <c r="F649" s="49"/>
      <c r="G649" s="58"/>
      <c r="I649" s="49"/>
      <c r="J649" s="58"/>
      <c r="L649" s="49"/>
      <c r="M649" s="58"/>
      <c r="O649" s="49"/>
    </row>
    <row r="650" ht="15.75" customHeight="1">
      <c r="A650" s="58"/>
      <c r="C650" s="49"/>
      <c r="D650" s="58"/>
      <c r="F650" s="49"/>
      <c r="G650" s="58"/>
      <c r="I650" s="49"/>
      <c r="J650" s="58"/>
      <c r="L650" s="49"/>
      <c r="M650" s="58"/>
      <c r="O650" s="49"/>
    </row>
    <row r="651" ht="15.75" customHeight="1">
      <c r="A651" s="58"/>
      <c r="C651" s="49"/>
      <c r="D651" s="58"/>
      <c r="F651" s="49"/>
      <c r="G651" s="58"/>
      <c r="I651" s="49"/>
      <c r="J651" s="58"/>
      <c r="L651" s="49"/>
      <c r="M651" s="58"/>
      <c r="O651" s="49"/>
    </row>
    <row r="652" ht="15.75" customHeight="1">
      <c r="A652" s="58"/>
      <c r="C652" s="49"/>
      <c r="D652" s="58"/>
      <c r="F652" s="49"/>
      <c r="G652" s="58"/>
      <c r="I652" s="49"/>
      <c r="J652" s="58"/>
      <c r="L652" s="49"/>
      <c r="M652" s="58"/>
      <c r="O652" s="49"/>
    </row>
    <row r="653" ht="15.75" customHeight="1">
      <c r="A653" s="58"/>
      <c r="C653" s="49"/>
      <c r="D653" s="58"/>
      <c r="F653" s="49"/>
      <c r="G653" s="58"/>
      <c r="I653" s="49"/>
      <c r="J653" s="58"/>
      <c r="L653" s="49"/>
      <c r="M653" s="58"/>
      <c r="O653" s="49"/>
    </row>
    <row r="654" ht="15.75" customHeight="1">
      <c r="A654" s="58"/>
      <c r="C654" s="49"/>
      <c r="D654" s="58"/>
      <c r="F654" s="49"/>
      <c r="G654" s="58"/>
      <c r="I654" s="49"/>
      <c r="J654" s="58"/>
      <c r="L654" s="49"/>
      <c r="M654" s="58"/>
      <c r="O654" s="49"/>
    </row>
    <row r="655" ht="15.75" customHeight="1">
      <c r="A655" s="58"/>
      <c r="C655" s="49"/>
      <c r="D655" s="58"/>
      <c r="F655" s="49"/>
      <c r="G655" s="58"/>
      <c r="I655" s="49"/>
      <c r="J655" s="58"/>
      <c r="L655" s="49"/>
      <c r="M655" s="58"/>
      <c r="O655" s="49"/>
    </row>
    <row r="656" ht="15.75" customHeight="1">
      <c r="A656" s="58"/>
      <c r="C656" s="49"/>
      <c r="D656" s="58"/>
      <c r="F656" s="49"/>
      <c r="G656" s="58"/>
      <c r="I656" s="49"/>
      <c r="J656" s="58"/>
      <c r="L656" s="49"/>
      <c r="M656" s="58"/>
      <c r="O656" s="49"/>
    </row>
    <row r="657" ht="15.75" customHeight="1">
      <c r="A657" s="58"/>
      <c r="C657" s="49"/>
      <c r="D657" s="58"/>
      <c r="F657" s="49"/>
      <c r="G657" s="58"/>
      <c r="I657" s="49"/>
      <c r="J657" s="58"/>
      <c r="L657" s="49"/>
      <c r="M657" s="58"/>
      <c r="O657" s="49"/>
    </row>
    <row r="658" ht="15.75" customHeight="1">
      <c r="A658" s="58"/>
      <c r="C658" s="49"/>
      <c r="D658" s="58"/>
      <c r="F658" s="49"/>
      <c r="G658" s="58"/>
      <c r="I658" s="49"/>
      <c r="J658" s="58"/>
      <c r="L658" s="49"/>
      <c r="M658" s="58"/>
      <c r="O658" s="49"/>
    </row>
    <row r="659" ht="15.75" customHeight="1">
      <c r="A659" s="58"/>
      <c r="C659" s="49"/>
      <c r="D659" s="58"/>
      <c r="F659" s="49"/>
      <c r="G659" s="58"/>
      <c r="I659" s="49"/>
      <c r="J659" s="58"/>
      <c r="L659" s="49"/>
      <c r="M659" s="58"/>
      <c r="O659" s="49"/>
    </row>
    <row r="660" ht="15.75" customHeight="1">
      <c r="A660" s="58"/>
      <c r="C660" s="49"/>
      <c r="D660" s="58"/>
      <c r="F660" s="49"/>
      <c r="G660" s="58"/>
      <c r="I660" s="49"/>
      <c r="J660" s="58"/>
      <c r="L660" s="49"/>
      <c r="M660" s="58"/>
      <c r="O660" s="49"/>
    </row>
    <row r="661" ht="15.75" customHeight="1">
      <c r="A661" s="58"/>
      <c r="C661" s="49"/>
      <c r="D661" s="58"/>
      <c r="F661" s="49"/>
      <c r="G661" s="58"/>
      <c r="I661" s="49"/>
      <c r="J661" s="58"/>
      <c r="L661" s="49"/>
      <c r="M661" s="58"/>
      <c r="O661" s="49"/>
    </row>
    <row r="662" ht="15.75" customHeight="1">
      <c r="A662" s="58"/>
      <c r="C662" s="49"/>
      <c r="D662" s="58"/>
      <c r="F662" s="49"/>
      <c r="G662" s="58"/>
      <c r="I662" s="49"/>
      <c r="J662" s="58"/>
      <c r="L662" s="49"/>
      <c r="M662" s="58"/>
      <c r="O662" s="49"/>
    </row>
    <row r="663" ht="15.75" customHeight="1">
      <c r="A663" s="58"/>
      <c r="C663" s="49"/>
      <c r="D663" s="58"/>
      <c r="F663" s="49"/>
      <c r="G663" s="58"/>
      <c r="I663" s="49"/>
      <c r="J663" s="58"/>
      <c r="L663" s="49"/>
      <c r="M663" s="58"/>
      <c r="O663" s="49"/>
    </row>
    <row r="664" ht="15.75" customHeight="1">
      <c r="A664" s="58"/>
      <c r="C664" s="49"/>
      <c r="D664" s="58"/>
      <c r="F664" s="49"/>
      <c r="G664" s="58"/>
      <c r="I664" s="49"/>
      <c r="J664" s="58"/>
      <c r="L664" s="49"/>
      <c r="M664" s="58"/>
      <c r="O664" s="49"/>
    </row>
    <row r="665" ht="15.75" customHeight="1">
      <c r="A665" s="58"/>
      <c r="C665" s="49"/>
      <c r="D665" s="58"/>
      <c r="F665" s="49"/>
      <c r="G665" s="58"/>
      <c r="I665" s="49"/>
      <c r="J665" s="58"/>
      <c r="L665" s="49"/>
      <c r="M665" s="58"/>
      <c r="O665" s="49"/>
    </row>
    <row r="666" ht="15.75" customHeight="1">
      <c r="A666" s="58"/>
      <c r="C666" s="49"/>
      <c r="D666" s="58"/>
      <c r="F666" s="49"/>
      <c r="G666" s="58"/>
      <c r="I666" s="49"/>
      <c r="J666" s="58"/>
      <c r="L666" s="49"/>
      <c r="M666" s="58"/>
      <c r="O666" s="49"/>
    </row>
    <row r="667" ht="15.75" customHeight="1">
      <c r="A667" s="58"/>
      <c r="C667" s="49"/>
      <c r="D667" s="58"/>
      <c r="F667" s="49"/>
      <c r="G667" s="58"/>
      <c r="I667" s="49"/>
      <c r="J667" s="58"/>
      <c r="L667" s="49"/>
      <c r="M667" s="58"/>
      <c r="O667" s="49"/>
    </row>
    <row r="668" ht="15.75" customHeight="1">
      <c r="A668" s="58"/>
      <c r="C668" s="49"/>
      <c r="D668" s="58"/>
      <c r="F668" s="49"/>
      <c r="G668" s="58"/>
      <c r="I668" s="49"/>
      <c r="J668" s="58"/>
      <c r="L668" s="49"/>
      <c r="M668" s="58"/>
      <c r="O668" s="49"/>
    </row>
    <row r="669" ht="15.75" customHeight="1">
      <c r="A669" s="58"/>
      <c r="C669" s="49"/>
      <c r="D669" s="58"/>
      <c r="F669" s="49"/>
      <c r="G669" s="58"/>
      <c r="I669" s="49"/>
      <c r="J669" s="58"/>
      <c r="L669" s="49"/>
      <c r="M669" s="58"/>
      <c r="O669" s="49"/>
    </row>
    <row r="670" ht="15.75" customHeight="1">
      <c r="A670" s="58"/>
      <c r="C670" s="49"/>
      <c r="D670" s="58"/>
      <c r="F670" s="49"/>
      <c r="G670" s="58"/>
      <c r="I670" s="49"/>
      <c r="J670" s="58"/>
      <c r="L670" s="49"/>
      <c r="M670" s="58"/>
      <c r="O670" s="49"/>
    </row>
    <row r="671" ht="15.75" customHeight="1">
      <c r="A671" s="58"/>
      <c r="C671" s="49"/>
      <c r="D671" s="58"/>
      <c r="F671" s="49"/>
      <c r="G671" s="58"/>
      <c r="I671" s="49"/>
      <c r="J671" s="58"/>
      <c r="L671" s="49"/>
      <c r="M671" s="58"/>
      <c r="O671" s="49"/>
    </row>
    <row r="672" ht="15.75" customHeight="1">
      <c r="A672" s="58"/>
      <c r="C672" s="49"/>
      <c r="D672" s="58"/>
      <c r="F672" s="49"/>
      <c r="G672" s="58"/>
      <c r="I672" s="49"/>
      <c r="J672" s="58"/>
      <c r="L672" s="49"/>
      <c r="M672" s="58"/>
      <c r="O672" s="49"/>
    </row>
    <row r="673" ht="15.75" customHeight="1">
      <c r="A673" s="58"/>
      <c r="C673" s="49"/>
      <c r="D673" s="58"/>
      <c r="F673" s="49"/>
      <c r="G673" s="58"/>
      <c r="I673" s="49"/>
      <c r="J673" s="58"/>
      <c r="L673" s="49"/>
      <c r="M673" s="58"/>
      <c r="O673" s="49"/>
    </row>
    <row r="674" ht="15.75" customHeight="1">
      <c r="A674" s="58"/>
      <c r="C674" s="49"/>
      <c r="D674" s="58"/>
      <c r="F674" s="49"/>
      <c r="G674" s="58"/>
      <c r="I674" s="49"/>
      <c r="J674" s="58"/>
      <c r="L674" s="49"/>
      <c r="M674" s="58"/>
      <c r="O674" s="49"/>
    </row>
    <row r="675" ht="15.75" customHeight="1">
      <c r="A675" s="58"/>
      <c r="C675" s="49"/>
      <c r="D675" s="58"/>
      <c r="F675" s="49"/>
      <c r="G675" s="58"/>
      <c r="I675" s="49"/>
      <c r="J675" s="58"/>
      <c r="L675" s="49"/>
      <c r="M675" s="58"/>
      <c r="O675" s="49"/>
    </row>
    <row r="676" ht="15.75" customHeight="1">
      <c r="A676" s="58"/>
      <c r="C676" s="49"/>
      <c r="D676" s="58"/>
      <c r="F676" s="49"/>
      <c r="G676" s="58"/>
      <c r="I676" s="49"/>
      <c r="J676" s="58"/>
      <c r="L676" s="49"/>
      <c r="M676" s="58"/>
      <c r="O676" s="49"/>
    </row>
    <row r="677" ht="15.75" customHeight="1">
      <c r="A677" s="58"/>
      <c r="C677" s="49"/>
      <c r="D677" s="58"/>
      <c r="F677" s="49"/>
      <c r="G677" s="58"/>
      <c r="I677" s="49"/>
      <c r="J677" s="58"/>
      <c r="L677" s="49"/>
      <c r="M677" s="58"/>
      <c r="O677" s="49"/>
    </row>
    <row r="678" ht="15.75" customHeight="1">
      <c r="A678" s="58"/>
      <c r="C678" s="49"/>
      <c r="D678" s="58"/>
      <c r="F678" s="49"/>
      <c r="G678" s="58"/>
      <c r="I678" s="49"/>
      <c r="J678" s="58"/>
      <c r="L678" s="49"/>
      <c r="M678" s="58"/>
      <c r="O678" s="49"/>
    </row>
    <row r="679" ht="15.75" customHeight="1">
      <c r="A679" s="58"/>
      <c r="C679" s="49"/>
      <c r="D679" s="58"/>
      <c r="F679" s="49"/>
      <c r="G679" s="58"/>
      <c r="I679" s="49"/>
      <c r="J679" s="58"/>
      <c r="L679" s="49"/>
      <c r="M679" s="58"/>
      <c r="O679" s="49"/>
    </row>
    <row r="680" ht="15.75" customHeight="1">
      <c r="A680" s="58"/>
      <c r="C680" s="49"/>
      <c r="D680" s="58"/>
      <c r="F680" s="49"/>
      <c r="G680" s="58"/>
      <c r="I680" s="49"/>
      <c r="J680" s="58"/>
      <c r="L680" s="49"/>
      <c r="M680" s="58"/>
      <c r="O680" s="49"/>
    </row>
    <row r="681" ht="15.75" customHeight="1">
      <c r="A681" s="58"/>
      <c r="C681" s="49"/>
      <c r="D681" s="58"/>
      <c r="F681" s="49"/>
      <c r="G681" s="58"/>
      <c r="I681" s="49"/>
      <c r="J681" s="58"/>
      <c r="L681" s="49"/>
      <c r="M681" s="58"/>
      <c r="O681" s="49"/>
    </row>
    <row r="682" ht="15.75" customHeight="1">
      <c r="A682" s="58"/>
      <c r="C682" s="49"/>
      <c r="D682" s="58"/>
      <c r="F682" s="49"/>
      <c r="G682" s="58"/>
      <c r="I682" s="49"/>
      <c r="J682" s="58"/>
      <c r="L682" s="49"/>
      <c r="M682" s="58"/>
      <c r="O682" s="49"/>
    </row>
    <row r="683" ht="15.75" customHeight="1">
      <c r="A683" s="58"/>
      <c r="C683" s="49"/>
      <c r="D683" s="58"/>
      <c r="F683" s="49"/>
      <c r="G683" s="58"/>
      <c r="I683" s="49"/>
      <c r="J683" s="58"/>
      <c r="L683" s="49"/>
      <c r="M683" s="58"/>
      <c r="O683" s="49"/>
    </row>
    <row r="684" ht="15.75" customHeight="1">
      <c r="A684" s="58"/>
      <c r="C684" s="49"/>
      <c r="D684" s="58"/>
      <c r="F684" s="49"/>
      <c r="G684" s="58"/>
      <c r="I684" s="49"/>
      <c r="J684" s="58"/>
      <c r="L684" s="49"/>
      <c r="M684" s="58"/>
      <c r="O684" s="49"/>
    </row>
    <row r="685" ht="15.75" customHeight="1">
      <c r="A685" s="58"/>
      <c r="C685" s="49"/>
      <c r="D685" s="58"/>
      <c r="F685" s="49"/>
      <c r="G685" s="58"/>
      <c r="I685" s="49"/>
      <c r="J685" s="58"/>
      <c r="L685" s="49"/>
      <c r="M685" s="58"/>
      <c r="O685" s="49"/>
    </row>
    <row r="686" ht="15.75" customHeight="1">
      <c r="A686" s="58"/>
      <c r="C686" s="49"/>
      <c r="D686" s="58"/>
      <c r="F686" s="49"/>
      <c r="G686" s="58"/>
      <c r="I686" s="49"/>
      <c r="J686" s="58"/>
      <c r="L686" s="49"/>
      <c r="M686" s="58"/>
      <c r="O686" s="49"/>
    </row>
    <row r="687" ht="15.75" customHeight="1">
      <c r="A687" s="58"/>
      <c r="C687" s="49"/>
      <c r="D687" s="58"/>
      <c r="F687" s="49"/>
      <c r="G687" s="58"/>
      <c r="I687" s="49"/>
      <c r="J687" s="58"/>
      <c r="L687" s="49"/>
      <c r="M687" s="58"/>
      <c r="O687" s="49"/>
    </row>
    <row r="688" ht="15.75" customHeight="1">
      <c r="A688" s="58"/>
      <c r="C688" s="49"/>
      <c r="D688" s="58"/>
      <c r="F688" s="49"/>
      <c r="G688" s="58"/>
      <c r="I688" s="49"/>
      <c r="J688" s="58"/>
      <c r="L688" s="49"/>
      <c r="M688" s="58"/>
      <c r="O688" s="49"/>
    </row>
    <row r="689" ht="15.75" customHeight="1">
      <c r="A689" s="58"/>
      <c r="C689" s="49"/>
      <c r="D689" s="58"/>
      <c r="F689" s="49"/>
      <c r="G689" s="58"/>
      <c r="I689" s="49"/>
      <c r="J689" s="58"/>
      <c r="L689" s="49"/>
      <c r="M689" s="58"/>
      <c r="O689" s="49"/>
    </row>
    <row r="690" ht="15.75" customHeight="1">
      <c r="A690" s="58"/>
      <c r="C690" s="49"/>
      <c r="D690" s="58"/>
      <c r="F690" s="49"/>
      <c r="G690" s="58"/>
      <c r="I690" s="49"/>
      <c r="J690" s="58"/>
      <c r="L690" s="49"/>
      <c r="M690" s="58"/>
      <c r="O690" s="49"/>
    </row>
    <row r="691" ht="15.75" customHeight="1">
      <c r="A691" s="58"/>
      <c r="C691" s="49"/>
      <c r="D691" s="58"/>
      <c r="F691" s="49"/>
      <c r="G691" s="58"/>
      <c r="I691" s="49"/>
      <c r="J691" s="58"/>
      <c r="L691" s="49"/>
      <c r="M691" s="58"/>
      <c r="O691" s="49"/>
    </row>
    <row r="692" ht="15.75" customHeight="1">
      <c r="A692" s="58"/>
      <c r="C692" s="49"/>
      <c r="D692" s="58"/>
      <c r="F692" s="49"/>
      <c r="G692" s="58"/>
      <c r="I692" s="49"/>
      <c r="J692" s="58"/>
      <c r="L692" s="49"/>
      <c r="M692" s="58"/>
      <c r="O692" s="49"/>
    </row>
    <row r="693" ht="15.75" customHeight="1">
      <c r="A693" s="58"/>
      <c r="C693" s="49"/>
      <c r="D693" s="58"/>
      <c r="F693" s="49"/>
      <c r="G693" s="58"/>
      <c r="I693" s="49"/>
      <c r="J693" s="58"/>
      <c r="L693" s="49"/>
      <c r="M693" s="58"/>
      <c r="O693" s="49"/>
    </row>
    <row r="694" ht="15.75" customHeight="1">
      <c r="A694" s="58"/>
      <c r="C694" s="49"/>
      <c r="D694" s="58"/>
      <c r="F694" s="49"/>
      <c r="G694" s="58"/>
      <c r="I694" s="49"/>
      <c r="J694" s="58"/>
      <c r="L694" s="49"/>
      <c r="M694" s="58"/>
      <c r="O694" s="49"/>
    </row>
    <row r="695" ht="15.75" customHeight="1">
      <c r="A695" s="58"/>
      <c r="C695" s="49"/>
      <c r="D695" s="58"/>
      <c r="F695" s="49"/>
      <c r="G695" s="58"/>
      <c r="I695" s="49"/>
      <c r="J695" s="58"/>
      <c r="L695" s="49"/>
      <c r="M695" s="58"/>
      <c r="O695" s="49"/>
    </row>
    <row r="696" ht="15.75" customHeight="1">
      <c r="A696" s="58"/>
      <c r="C696" s="49"/>
      <c r="D696" s="58"/>
      <c r="F696" s="49"/>
      <c r="G696" s="58"/>
      <c r="I696" s="49"/>
      <c r="J696" s="58"/>
      <c r="L696" s="49"/>
      <c r="M696" s="58"/>
      <c r="O696" s="49"/>
    </row>
    <row r="697" ht="15.75" customHeight="1">
      <c r="A697" s="58"/>
      <c r="C697" s="49"/>
      <c r="D697" s="58"/>
      <c r="F697" s="49"/>
      <c r="G697" s="58"/>
      <c r="I697" s="49"/>
      <c r="J697" s="58"/>
      <c r="L697" s="49"/>
      <c r="M697" s="58"/>
      <c r="O697" s="49"/>
    </row>
    <row r="698" ht="15.75" customHeight="1">
      <c r="A698" s="58"/>
      <c r="C698" s="49"/>
      <c r="D698" s="58"/>
      <c r="F698" s="49"/>
      <c r="G698" s="58"/>
      <c r="I698" s="49"/>
      <c r="J698" s="58"/>
      <c r="L698" s="49"/>
      <c r="M698" s="58"/>
      <c r="O698" s="49"/>
    </row>
    <row r="699" ht="15.75" customHeight="1">
      <c r="A699" s="58"/>
      <c r="C699" s="49"/>
      <c r="D699" s="58"/>
      <c r="F699" s="49"/>
      <c r="G699" s="58"/>
      <c r="I699" s="49"/>
      <c r="J699" s="58"/>
      <c r="L699" s="49"/>
      <c r="M699" s="58"/>
      <c r="O699" s="49"/>
    </row>
    <row r="700" ht="15.75" customHeight="1">
      <c r="A700" s="58"/>
      <c r="C700" s="49"/>
      <c r="D700" s="58"/>
      <c r="F700" s="49"/>
      <c r="G700" s="58"/>
      <c r="I700" s="49"/>
      <c r="J700" s="58"/>
      <c r="L700" s="49"/>
      <c r="M700" s="58"/>
      <c r="O700" s="49"/>
    </row>
    <row r="701" ht="15.75" customHeight="1">
      <c r="A701" s="58"/>
      <c r="C701" s="49"/>
      <c r="D701" s="58"/>
      <c r="F701" s="49"/>
      <c r="G701" s="58"/>
      <c r="I701" s="49"/>
      <c r="J701" s="58"/>
      <c r="L701" s="49"/>
      <c r="M701" s="58"/>
      <c r="O701" s="49"/>
    </row>
    <row r="702" ht="15.75" customHeight="1">
      <c r="A702" s="58"/>
      <c r="C702" s="49"/>
      <c r="D702" s="58"/>
      <c r="F702" s="49"/>
      <c r="G702" s="58"/>
      <c r="I702" s="49"/>
      <c r="J702" s="58"/>
      <c r="L702" s="49"/>
      <c r="M702" s="58"/>
      <c r="O702" s="49"/>
    </row>
    <row r="703" ht="15.75" customHeight="1">
      <c r="A703" s="58"/>
      <c r="C703" s="49"/>
      <c r="D703" s="58"/>
      <c r="F703" s="49"/>
      <c r="G703" s="58"/>
      <c r="I703" s="49"/>
      <c r="J703" s="58"/>
      <c r="L703" s="49"/>
      <c r="M703" s="58"/>
      <c r="O703" s="49"/>
    </row>
    <row r="704" ht="15.75" customHeight="1">
      <c r="A704" s="58"/>
      <c r="C704" s="49"/>
      <c r="D704" s="58"/>
      <c r="F704" s="49"/>
      <c r="G704" s="58"/>
      <c r="I704" s="49"/>
      <c r="J704" s="58"/>
      <c r="L704" s="49"/>
      <c r="M704" s="58"/>
      <c r="O704" s="49"/>
    </row>
    <row r="705" ht="15.75" customHeight="1">
      <c r="A705" s="58"/>
      <c r="C705" s="49"/>
      <c r="D705" s="58"/>
      <c r="F705" s="49"/>
      <c r="G705" s="58"/>
      <c r="I705" s="49"/>
      <c r="J705" s="58"/>
      <c r="L705" s="49"/>
      <c r="M705" s="58"/>
      <c r="O705" s="49"/>
    </row>
    <row r="706" ht="15.75" customHeight="1">
      <c r="A706" s="58"/>
      <c r="C706" s="49"/>
      <c r="D706" s="58"/>
      <c r="F706" s="49"/>
      <c r="G706" s="58"/>
      <c r="I706" s="49"/>
      <c r="J706" s="58"/>
      <c r="L706" s="49"/>
      <c r="M706" s="58"/>
      <c r="O706" s="49"/>
    </row>
    <row r="707" ht="15.75" customHeight="1">
      <c r="A707" s="58"/>
      <c r="C707" s="49"/>
      <c r="D707" s="58"/>
      <c r="F707" s="49"/>
      <c r="G707" s="58"/>
      <c r="I707" s="49"/>
      <c r="J707" s="58"/>
      <c r="L707" s="49"/>
      <c r="M707" s="58"/>
      <c r="O707" s="49"/>
    </row>
    <row r="708" ht="15.75" customHeight="1">
      <c r="A708" s="58"/>
      <c r="C708" s="49"/>
      <c r="D708" s="58"/>
      <c r="F708" s="49"/>
      <c r="G708" s="58"/>
      <c r="I708" s="49"/>
      <c r="J708" s="58"/>
      <c r="L708" s="49"/>
      <c r="M708" s="58"/>
      <c r="O708" s="49"/>
    </row>
    <row r="709" ht="15.75" customHeight="1">
      <c r="A709" s="58"/>
      <c r="C709" s="49"/>
      <c r="D709" s="58"/>
      <c r="F709" s="49"/>
      <c r="G709" s="58"/>
      <c r="I709" s="49"/>
      <c r="J709" s="58"/>
      <c r="L709" s="49"/>
      <c r="M709" s="58"/>
      <c r="O709" s="49"/>
    </row>
    <row r="710" ht="15.75" customHeight="1">
      <c r="A710" s="58"/>
      <c r="C710" s="49"/>
      <c r="D710" s="58"/>
      <c r="F710" s="49"/>
      <c r="G710" s="58"/>
      <c r="I710" s="49"/>
      <c r="J710" s="58"/>
      <c r="L710" s="49"/>
      <c r="M710" s="58"/>
      <c r="O710" s="49"/>
    </row>
    <row r="711" ht="15.75" customHeight="1">
      <c r="A711" s="58"/>
      <c r="C711" s="49"/>
      <c r="D711" s="58"/>
      <c r="F711" s="49"/>
      <c r="G711" s="58"/>
      <c r="I711" s="49"/>
      <c r="J711" s="58"/>
      <c r="L711" s="49"/>
      <c r="M711" s="58"/>
      <c r="O711" s="49"/>
    </row>
    <row r="712" ht="15.75" customHeight="1">
      <c r="A712" s="58"/>
      <c r="C712" s="49"/>
      <c r="D712" s="58"/>
      <c r="F712" s="49"/>
      <c r="G712" s="58"/>
      <c r="I712" s="49"/>
      <c r="J712" s="58"/>
      <c r="L712" s="49"/>
      <c r="M712" s="58"/>
      <c r="O712" s="49"/>
    </row>
    <row r="713" ht="15.75" customHeight="1">
      <c r="A713" s="58"/>
      <c r="C713" s="49"/>
      <c r="D713" s="58"/>
      <c r="F713" s="49"/>
      <c r="G713" s="58"/>
      <c r="I713" s="49"/>
      <c r="J713" s="58"/>
      <c r="L713" s="49"/>
      <c r="M713" s="58"/>
      <c r="O713" s="49"/>
    </row>
    <row r="714" ht="15.75" customHeight="1">
      <c r="A714" s="58"/>
      <c r="C714" s="49"/>
      <c r="D714" s="58"/>
      <c r="F714" s="49"/>
      <c r="G714" s="58"/>
      <c r="I714" s="49"/>
      <c r="J714" s="58"/>
      <c r="L714" s="49"/>
      <c r="M714" s="58"/>
      <c r="O714" s="49"/>
    </row>
    <row r="715" ht="15.75" customHeight="1">
      <c r="A715" s="58"/>
      <c r="C715" s="49"/>
      <c r="D715" s="58"/>
      <c r="F715" s="49"/>
      <c r="G715" s="58"/>
      <c r="I715" s="49"/>
      <c r="J715" s="58"/>
      <c r="L715" s="49"/>
      <c r="M715" s="58"/>
      <c r="O715" s="49"/>
    </row>
    <row r="716" ht="15.75" customHeight="1">
      <c r="A716" s="58"/>
      <c r="C716" s="49"/>
      <c r="D716" s="58"/>
      <c r="F716" s="49"/>
      <c r="G716" s="58"/>
      <c r="I716" s="49"/>
      <c r="J716" s="58"/>
      <c r="L716" s="49"/>
      <c r="M716" s="58"/>
      <c r="O716" s="49"/>
    </row>
    <row r="717" ht="15.75" customHeight="1">
      <c r="A717" s="58"/>
      <c r="C717" s="49"/>
      <c r="D717" s="58"/>
      <c r="F717" s="49"/>
      <c r="G717" s="58"/>
      <c r="I717" s="49"/>
      <c r="J717" s="58"/>
      <c r="L717" s="49"/>
      <c r="M717" s="58"/>
      <c r="O717" s="49"/>
    </row>
    <row r="718" ht="15.75" customHeight="1">
      <c r="A718" s="58"/>
      <c r="C718" s="49"/>
      <c r="D718" s="58"/>
      <c r="F718" s="49"/>
      <c r="G718" s="58"/>
      <c r="I718" s="49"/>
      <c r="J718" s="58"/>
      <c r="L718" s="49"/>
      <c r="M718" s="58"/>
      <c r="O718" s="49"/>
    </row>
    <row r="719" ht="15.75" customHeight="1">
      <c r="A719" s="58"/>
      <c r="C719" s="49"/>
      <c r="D719" s="58"/>
      <c r="F719" s="49"/>
      <c r="G719" s="58"/>
      <c r="I719" s="49"/>
      <c r="J719" s="58"/>
      <c r="L719" s="49"/>
      <c r="M719" s="58"/>
      <c r="O719" s="49"/>
    </row>
    <row r="720" ht="15.75" customHeight="1">
      <c r="A720" s="58"/>
      <c r="C720" s="49"/>
      <c r="D720" s="58"/>
      <c r="F720" s="49"/>
      <c r="G720" s="58"/>
      <c r="I720" s="49"/>
      <c r="J720" s="58"/>
      <c r="L720" s="49"/>
      <c r="M720" s="58"/>
      <c r="O720" s="49"/>
    </row>
    <row r="721" ht="15.75" customHeight="1">
      <c r="A721" s="58"/>
      <c r="C721" s="49"/>
      <c r="D721" s="58"/>
      <c r="F721" s="49"/>
      <c r="G721" s="58"/>
      <c r="I721" s="49"/>
      <c r="J721" s="58"/>
      <c r="L721" s="49"/>
      <c r="M721" s="58"/>
      <c r="O721" s="49"/>
    </row>
    <row r="722" ht="15.75" customHeight="1">
      <c r="A722" s="58"/>
      <c r="C722" s="49"/>
      <c r="D722" s="58"/>
      <c r="F722" s="49"/>
      <c r="G722" s="58"/>
      <c r="I722" s="49"/>
      <c r="J722" s="58"/>
      <c r="L722" s="49"/>
      <c r="M722" s="58"/>
      <c r="O722" s="49"/>
    </row>
    <row r="723" ht="15.75" customHeight="1">
      <c r="A723" s="58"/>
      <c r="C723" s="49"/>
      <c r="D723" s="58"/>
      <c r="F723" s="49"/>
      <c r="G723" s="58"/>
      <c r="I723" s="49"/>
      <c r="J723" s="58"/>
      <c r="L723" s="49"/>
      <c r="M723" s="58"/>
      <c r="O723" s="49"/>
    </row>
    <row r="724" ht="15.75" customHeight="1">
      <c r="A724" s="58"/>
      <c r="C724" s="49"/>
      <c r="D724" s="58"/>
      <c r="F724" s="49"/>
      <c r="G724" s="58"/>
      <c r="I724" s="49"/>
      <c r="J724" s="58"/>
      <c r="L724" s="49"/>
      <c r="M724" s="58"/>
      <c r="O724" s="49"/>
    </row>
    <row r="725" ht="15.75" customHeight="1">
      <c r="A725" s="58"/>
      <c r="C725" s="49"/>
      <c r="D725" s="58"/>
      <c r="F725" s="49"/>
      <c r="G725" s="58"/>
      <c r="I725" s="49"/>
      <c r="J725" s="58"/>
      <c r="L725" s="49"/>
      <c r="M725" s="58"/>
      <c r="O725" s="49"/>
    </row>
    <row r="726" ht="15.75" customHeight="1">
      <c r="A726" s="58"/>
      <c r="C726" s="49"/>
      <c r="D726" s="58"/>
      <c r="F726" s="49"/>
      <c r="G726" s="58"/>
      <c r="I726" s="49"/>
      <c r="J726" s="58"/>
      <c r="L726" s="49"/>
      <c r="M726" s="58"/>
      <c r="O726" s="49"/>
    </row>
    <row r="727" ht="15.75" customHeight="1">
      <c r="A727" s="58"/>
      <c r="C727" s="49"/>
      <c r="D727" s="58"/>
      <c r="F727" s="49"/>
      <c r="G727" s="58"/>
      <c r="I727" s="49"/>
      <c r="J727" s="58"/>
      <c r="L727" s="49"/>
      <c r="M727" s="58"/>
      <c r="O727" s="49"/>
    </row>
    <row r="728" ht="15.75" customHeight="1">
      <c r="A728" s="58"/>
      <c r="C728" s="49"/>
      <c r="D728" s="58"/>
      <c r="F728" s="49"/>
      <c r="G728" s="58"/>
      <c r="I728" s="49"/>
      <c r="J728" s="58"/>
      <c r="L728" s="49"/>
      <c r="M728" s="58"/>
      <c r="O728" s="49"/>
    </row>
    <row r="729" ht="15.75" customHeight="1">
      <c r="A729" s="58"/>
      <c r="C729" s="49"/>
      <c r="D729" s="58"/>
      <c r="F729" s="49"/>
      <c r="G729" s="58"/>
      <c r="I729" s="49"/>
      <c r="J729" s="58"/>
      <c r="L729" s="49"/>
      <c r="M729" s="58"/>
      <c r="O729" s="49"/>
    </row>
    <row r="730" ht="15.75" customHeight="1">
      <c r="A730" s="58"/>
      <c r="C730" s="49"/>
      <c r="D730" s="58"/>
      <c r="F730" s="49"/>
      <c r="G730" s="58"/>
      <c r="I730" s="49"/>
      <c r="J730" s="58"/>
      <c r="L730" s="49"/>
      <c r="M730" s="58"/>
      <c r="O730" s="49"/>
    </row>
    <row r="731" ht="15.75" customHeight="1">
      <c r="A731" s="58"/>
      <c r="C731" s="49"/>
      <c r="D731" s="58"/>
      <c r="F731" s="49"/>
      <c r="G731" s="58"/>
      <c r="I731" s="49"/>
      <c r="J731" s="58"/>
      <c r="L731" s="49"/>
      <c r="M731" s="58"/>
      <c r="O731" s="49"/>
    </row>
    <row r="732" ht="15.75" customHeight="1">
      <c r="A732" s="58"/>
      <c r="C732" s="49"/>
      <c r="D732" s="58"/>
      <c r="F732" s="49"/>
      <c r="G732" s="58"/>
      <c r="I732" s="49"/>
      <c r="J732" s="58"/>
      <c r="L732" s="49"/>
      <c r="M732" s="58"/>
      <c r="O732" s="49"/>
    </row>
    <row r="733" ht="15.75" customHeight="1">
      <c r="A733" s="58"/>
      <c r="C733" s="49"/>
      <c r="D733" s="58"/>
      <c r="F733" s="49"/>
      <c r="G733" s="58"/>
      <c r="I733" s="49"/>
      <c r="J733" s="58"/>
      <c r="L733" s="49"/>
      <c r="M733" s="58"/>
      <c r="O733" s="49"/>
    </row>
    <row r="734" ht="15.75" customHeight="1">
      <c r="A734" s="58"/>
      <c r="C734" s="49"/>
      <c r="D734" s="58"/>
      <c r="F734" s="49"/>
      <c r="G734" s="58"/>
      <c r="I734" s="49"/>
      <c r="J734" s="58"/>
      <c r="L734" s="49"/>
      <c r="M734" s="58"/>
      <c r="O734" s="49"/>
    </row>
    <row r="735" ht="15.75" customHeight="1">
      <c r="A735" s="58"/>
      <c r="C735" s="49"/>
      <c r="D735" s="58"/>
      <c r="F735" s="49"/>
      <c r="G735" s="58"/>
      <c r="I735" s="49"/>
      <c r="J735" s="58"/>
      <c r="L735" s="49"/>
      <c r="M735" s="58"/>
      <c r="O735" s="49"/>
    </row>
    <row r="736" ht="15.75" customHeight="1">
      <c r="A736" s="58"/>
      <c r="C736" s="49"/>
      <c r="D736" s="58"/>
      <c r="F736" s="49"/>
      <c r="G736" s="58"/>
      <c r="I736" s="49"/>
      <c r="J736" s="58"/>
      <c r="L736" s="49"/>
      <c r="M736" s="58"/>
      <c r="O736" s="49"/>
    </row>
    <row r="737" ht="15.75" customHeight="1">
      <c r="A737" s="58"/>
      <c r="C737" s="49"/>
      <c r="D737" s="58"/>
      <c r="F737" s="49"/>
      <c r="G737" s="58"/>
      <c r="I737" s="49"/>
      <c r="J737" s="58"/>
      <c r="L737" s="49"/>
      <c r="M737" s="58"/>
      <c r="O737" s="49"/>
    </row>
    <row r="738" ht="15.75" customHeight="1">
      <c r="A738" s="58"/>
      <c r="C738" s="49"/>
      <c r="D738" s="58"/>
      <c r="F738" s="49"/>
      <c r="G738" s="58"/>
      <c r="I738" s="49"/>
      <c r="J738" s="58"/>
      <c r="L738" s="49"/>
      <c r="M738" s="58"/>
      <c r="O738" s="49"/>
    </row>
    <row r="739" ht="15.75" customHeight="1">
      <c r="A739" s="58"/>
      <c r="C739" s="49"/>
      <c r="D739" s="58"/>
      <c r="F739" s="49"/>
      <c r="G739" s="58"/>
      <c r="I739" s="49"/>
      <c r="J739" s="58"/>
      <c r="L739" s="49"/>
      <c r="M739" s="58"/>
      <c r="O739" s="49"/>
    </row>
    <row r="740" ht="15.75" customHeight="1">
      <c r="A740" s="58"/>
      <c r="C740" s="49"/>
      <c r="D740" s="58"/>
      <c r="F740" s="49"/>
      <c r="G740" s="58"/>
      <c r="I740" s="49"/>
      <c r="J740" s="58"/>
      <c r="L740" s="49"/>
      <c r="M740" s="58"/>
      <c r="O740" s="49"/>
    </row>
    <row r="741" ht="15.75" customHeight="1">
      <c r="A741" s="58"/>
      <c r="C741" s="49"/>
      <c r="D741" s="58"/>
      <c r="F741" s="49"/>
      <c r="G741" s="58"/>
      <c r="I741" s="49"/>
      <c r="J741" s="58"/>
      <c r="L741" s="49"/>
      <c r="M741" s="58"/>
      <c r="O741" s="49"/>
    </row>
    <row r="742" ht="15.75" customHeight="1">
      <c r="A742" s="58"/>
      <c r="C742" s="49"/>
      <c r="D742" s="58"/>
      <c r="F742" s="49"/>
      <c r="G742" s="58"/>
      <c r="I742" s="49"/>
      <c r="J742" s="58"/>
      <c r="L742" s="49"/>
      <c r="M742" s="58"/>
      <c r="O742" s="49"/>
    </row>
    <row r="743" ht="15.75" customHeight="1">
      <c r="A743" s="58"/>
      <c r="C743" s="49"/>
      <c r="D743" s="58"/>
      <c r="F743" s="49"/>
      <c r="G743" s="58"/>
      <c r="I743" s="49"/>
      <c r="J743" s="58"/>
      <c r="L743" s="49"/>
      <c r="M743" s="58"/>
      <c r="O743" s="49"/>
    </row>
    <row r="744" ht="15.75" customHeight="1">
      <c r="A744" s="58"/>
      <c r="C744" s="49"/>
      <c r="D744" s="58"/>
      <c r="F744" s="49"/>
      <c r="G744" s="58"/>
      <c r="I744" s="49"/>
      <c r="J744" s="58"/>
      <c r="L744" s="49"/>
      <c r="M744" s="58"/>
      <c r="O744" s="49"/>
    </row>
    <row r="745" ht="15.75" customHeight="1">
      <c r="A745" s="58"/>
      <c r="C745" s="49"/>
      <c r="D745" s="58"/>
      <c r="F745" s="49"/>
      <c r="G745" s="58"/>
      <c r="I745" s="49"/>
      <c r="J745" s="58"/>
      <c r="L745" s="49"/>
      <c r="M745" s="58"/>
      <c r="O745" s="49"/>
    </row>
    <row r="746" ht="15.75" customHeight="1">
      <c r="A746" s="58"/>
      <c r="C746" s="49"/>
      <c r="D746" s="58"/>
      <c r="F746" s="49"/>
      <c r="G746" s="58"/>
      <c r="I746" s="49"/>
      <c r="J746" s="58"/>
      <c r="L746" s="49"/>
      <c r="M746" s="58"/>
      <c r="O746" s="49"/>
    </row>
    <row r="747" ht="15.75" customHeight="1">
      <c r="A747" s="58"/>
      <c r="C747" s="49"/>
      <c r="D747" s="58"/>
      <c r="F747" s="49"/>
      <c r="G747" s="58"/>
      <c r="I747" s="49"/>
      <c r="J747" s="58"/>
      <c r="L747" s="49"/>
      <c r="M747" s="58"/>
      <c r="O747" s="49"/>
    </row>
    <row r="748" ht="15.75" customHeight="1">
      <c r="A748" s="58"/>
      <c r="C748" s="49"/>
      <c r="D748" s="58"/>
      <c r="F748" s="49"/>
      <c r="G748" s="58"/>
      <c r="I748" s="49"/>
      <c r="J748" s="58"/>
      <c r="L748" s="49"/>
      <c r="M748" s="58"/>
      <c r="O748" s="49"/>
    </row>
    <row r="749" ht="15.75" customHeight="1">
      <c r="A749" s="58"/>
      <c r="C749" s="49"/>
      <c r="D749" s="58"/>
      <c r="F749" s="49"/>
      <c r="G749" s="58"/>
      <c r="I749" s="49"/>
      <c r="J749" s="58"/>
      <c r="L749" s="49"/>
      <c r="M749" s="58"/>
      <c r="O749" s="49"/>
    </row>
    <row r="750" ht="15.75" customHeight="1">
      <c r="A750" s="58"/>
      <c r="C750" s="49"/>
      <c r="D750" s="58"/>
      <c r="F750" s="49"/>
      <c r="G750" s="58"/>
      <c r="I750" s="49"/>
      <c r="J750" s="58"/>
      <c r="L750" s="49"/>
      <c r="M750" s="58"/>
      <c r="O750" s="49"/>
    </row>
    <row r="751" ht="15.75" customHeight="1">
      <c r="A751" s="58"/>
      <c r="C751" s="49"/>
      <c r="D751" s="58"/>
      <c r="F751" s="49"/>
      <c r="G751" s="58"/>
      <c r="I751" s="49"/>
      <c r="J751" s="58"/>
      <c r="L751" s="49"/>
      <c r="M751" s="58"/>
      <c r="O751" s="49"/>
    </row>
    <row r="752" ht="15.75" customHeight="1">
      <c r="A752" s="58"/>
      <c r="C752" s="49"/>
      <c r="D752" s="58"/>
      <c r="F752" s="49"/>
      <c r="G752" s="58"/>
      <c r="I752" s="49"/>
      <c r="J752" s="58"/>
      <c r="L752" s="49"/>
      <c r="M752" s="58"/>
      <c r="O752" s="49"/>
    </row>
    <row r="753" ht="15.75" customHeight="1">
      <c r="A753" s="58"/>
      <c r="C753" s="49"/>
      <c r="D753" s="58"/>
      <c r="F753" s="49"/>
      <c r="G753" s="58"/>
      <c r="I753" s="49"/>
      <c r="J753" s="58"/>
      <c r="L753" s="49"/>
      <c r="M753" s="58"/>
      <c r="O753" s="49"/>
    </row>
    <row r="754" ht="15.75" customHeight="1">
      <c r="A754" s="58"/>
      <c r="C754" s="49"/>
      <c r="D754" s="58"/>
      <c r="F754" s="49"/>
      <c r="G754" s="58"/>
      <c r="I754" s="49"/>
      <c r="J754" s="58"/>
      <c r="L754" s="49"/>
      <c r="M754" s="58"/>
      <c r="O754" s="49"/>
    </row>
    <row r="755" ht="15.75" customHeight="1">
      <c r="A755" s="58"/>
      <c r="C755" s="49"/>
      <c r="D755" s="58"/>
      <c r="F755" s="49"/>
      <c r="G755" s="58"/>
      <c r="I755" s="49"/>
      <c r="J755" s="58"/>
      <c r="L755" s="49"/>
      <c r="M755" s="58"/>
      <c r="O755" s="49"/>
    </row>
    <row r="756" ht="15.75" customHeight="1">
      <c r="A756" s="58"/>
      <c r="C756" s="49"/>
      <c r="D756" s="58"/>
      <c r="F756" s="49"/>
      <c r="G756" s="58"/>
      <c r="I756" s="49"/>
      <c r="J756" s="58"/>
      <c r="L756" s="49"/>
      <c r="M756" s="58"/>
      <c r="O756" s="49"/>
    </row>
    <row r="757" ht="15.75" customHeight="1">
      <c r="A757" s="58"/>
      <c r="C757" s="49"/>
      <c r="D757" s="58"/>
      <c r="F757" s="49"/>
      <c r="G757" s="58"/>
      <c r="I757" s="49"/>
      <c r="J757" s="58"/>
      <c r="L757" s="49"/>
      <c r="M757" s="58"/>
      <c r="O757" s="49"/>
    </row>
    <row r="758" ht="15.75" customHeight="1">
      <c r="A758" s="58"/>
      <c r="C758" s="49"/>
      <c r="D758" s="58"/>
      <c r="F758" s="49"/>
      <c r="G758" s="58"/>
      <c r="I758" s="49"/>
      <c r="J758" s="58"/>
      <c r="L758" s="49"/>
      <c r="M758" s="58"/>
      <c r="O758" s="49"/>
    </row>
    <row r="759" ht="15.75" customHeight="1">
      <c r="A759" s="58"/>
      <c r="C759" s="49"/>
      <c r="D759" s="58"/>
      <c r="F759" s="49"/>
      <c r="G759" s="58"/>
      <c r="I759" s="49"/>
      <c r="J759" s="58"/>
      <c r="L759" s="49"/>
      <c r="M759" s="58"/>
      <c r="O759" s="49"/>
    </row>
    <row r="760" ht="15.75" customHeight="1">
      <c r="A760" s="58"/>
      <c r="C760" s="49"/>
      <c r="D760" s="58"/>
      <c r="F760" s="49"/>
      <c r="G760" s="58"/>
      <c r="I760" s="49"/>
      <c r="J760" s="58"/>
      <c r="L760" s="49"/>
      <c r="M760" s="58"/>
      <c r="O760" s="49"/>
    </row>
    <row r="761" ht="15.75" customHeight="1">
      <c r="A761" s="58"/>
      <c r="C761" s="49"/>
      <c r="D761" s="58"/>
      <c r="F761" s="49"/>
      <c r="G761" s="58"/>
      <c r="I761" s="49"/>
      <c r="J761" s="58"/>
      <c r="L761" s="49"/>
      <c r="M761" s="58"/>
      <c r="O761" s="49"/>
    </row>
    <row r="762" ht="15.75" customHeight="1">
      <c r="A762" s="58"/>
      <c r="C762" s="49"/>
      <c r="D762" s="58"/>
      <c r="F762" s="49"/>
      <c r="G762" s="58"/>
      <c r="I762" s="49"/>
      <c r="J762" s="58"/>
      <c r="L762" s="49"/>
      <c r="M762" s="58"/>
      <c r="O762" s="49"/>
    </row>
    <row r="763" ht="15.75" customHeight="1">
      <c r="A763" s="58"/>
      <c r="C763" s="49"/>
      <c r="D763" s="58"/>
      <c r="F763" s="49"/>
      <c r="G763" s="58"/>
      <c r="I763" s="49"/>
      <c r="J763" s="58"/>
      <c r="L763" s="49"/>
      <c r="M763" s="58"/>
      <c r="O763" s="49"/>
    </row>
    <row r="764" ht="15.75" customHeight="1">
      <c r="A764" s="58"/>
      <c r="C764" s="49"/>
      <c r="D764" s="58"/>
      <c r="F764" s="49"/>
      <c r="G764" s="58"/>
      <c r="I764" s="49"/>
      <c r="J764" s="58"/>
      <c r="L764" s="49"/>
      <c r="M764" s="58"/>
      <c r="O764" s="49"/>
    </row>
    <row r="765" ht="15.75" customHeight="1">
      <c r="A765" s="58"/>
      <c r="C765" s="49"/>
      <c r="D765" s="58"/>
      <c r="F765" s="49"/>
      <c r="G765" s="58"/>
      <c r="I765" s="49"/>
      <c r="J765" s="58"/>
      <c r="L765" s="49"/>
      <c r="M765" s="58"/>
      <c r="O765" s="49"/>
    </row>
    <row r="766" ht="15.75" customHeight="1">
      <c r="A766" s="58"/>
      <c r="C766" s="49"/>
      <c r="D766" s="58"/>
      <c r="F766" s="49"/>
      <c r="G766" s="58"/>
      <c r="I766" s="49"/>
      <c r="J766" s="58"/>
      <c r="L766" s="49"/>
      <c r="M766" s="58"/>
      <c r="O766" s="49"/>
    </row>
    <row r="767" ht="15.75" customHeight="1">
      <c r="A767" s="58"/>
      <c r="C767" s="49"/>
      <c r="D767" s="58"/>
      <c r="F767" s="49"/>
      <c r="G767" s="58"/>
      <c r="I767" s="49"/>
      <c r="J767" s="58"/>
      <c r="L767" s="49"/>
      <c r="M767" s="58"/>
      <c r="O767" s="49"/>
    </row>
    <row r="768" ht="15.75" customHeight="1">
      <c r="A768" s="58"/>
      <c r="C768" s="49"/>
      <c r="D768" s="58"/>
      <c r="F768" s="49"/>
      <c r="G768" s="58"/>
      <c r="I768" s="49"/>
      <c r="J768" s="58"/>
      <c r="L768" s="49"/>
      <c r="M768" s="58"/>
      <c r="O768" s="49"/>
    </row>
    <row r="769" ht="15.75" customHeight="1">
      <c r="A769" s="58"/>
      <c r="C769" s="49"/>
      <c r="D769" s="58"/>
      <c r="F769" s="49"/>
      <c r="G769" s="58"/>
      <c r="I769" s="49"/>
      <c r="J769" s="58"/>
      <c r="L769" s="49"/>
      <c r="M769" s="58"/>
      <c r="O769" s="49"/>
    </row>
    <row r="770" ht="15.75" customHeight="1">
      <c r="A770" s="58"/>
      <c r="C770" s="49"/>
      <c r="D770" s="58"/>
      <c r="F770" s="49"/>
      <c r="G770" s="58"/>
      <c r="I770" s="49"/>
      <c r="J770" s="58"/>
      <c r="L770" s="49"/>
      <c r="M770" s="58"/>
      <c r="O770" s="49"/>
    </row>
    <row r="771" ht="15.75" customHeight="1">
      <c r="A771" s="58"/>
      <c r="C771" s="49"/>
      <c r="D771" s="58"/>
      <c r="F771" s="49"/>
      <c r="G771" s="58"/>
      <c r="I771" s="49"/>
      <c r="J771" s="58"/>
      <c r="L771" s="49"/>
      <c r="M771" s="58"/>
      <c r="O771" s="49"/>
    </row>
    <row r="772" ht="15.75" customHeight="1">
      <c r="A772" s="58"/>
      <c r="C772" s="49"/>
      <c r="D772" s="58"/>
      <c r="F772" s="49"/>
      <c r="G772" s="58"/>
      <c r="I772" s="49"/>
      <c r="J772" s="58"/>
      <c r="L772" s="49"/>
      <c r="M772" s="58"/>
      <c r="O772" s="49"/>
    </row>
    <row r="773" ht="15.75" customHeight="1">
      <c r="A773" s="58"/>
      <c r="C773" s="49"/>
      <c r="D773" s="58"/>
      <c r="F773" s="49"/>
      <c r="G773" s="58"/>
      <c r="I773" s="49"/>
      <c r="J773" s="58"/>
      <c r="L773" s="49"/>
      <c r="M773" s="58"/>
      <c r="O773" s="49"/>
    </row>
    <row r="774" ht="15.75" customHeight="1">
      <c r="A774" s="58"/>
      <c r="C774" s="49"/>
      <c r="D774" s="58"/>
      <c r="F774" s="49"/>
      <c r="G774" s="58"/>
      <c r="I774" s="49"/>
      <c r="J774" s="58"/>
      <c r="L774" s="49"/>
      <c r="M774" s="58"/>
      <c r="O774" s="49"/>
    </row>
    <row r="775" ht="15.75" customHeight="1">
      <c r="A775" s="58"/>
      <c r="C775" s="49"/>
      <c r="D775" s="58"/>
      <c r="F775" s="49"/>
      <c r="G775" s="58"/>
      <c r="I775" s="49"/>
      <c r="J775" s="58"/>
      <c r="L775" s="49"/>
      <c r="M775" s="58"/>
      <c r="O775" s="49"/>
    </row>
    <row r="776" ht="15.75" customHeight="1">
      <c r="A776" s="58"/>
      <c r="C776" s="49"/>
      <c r="D776" s="58"/>
      <c r="F776" s="49"/>
      <c r="G776" s="58"/>
      <c r="I776" s="49"/>
      <c r="J776" s="58"/>
      <c r="L776" s="49"/>
      <c r="M776" s="58"/>
      <c r="O776" s="49"/>
    </row>
    <row r="777" ht="15.75" customHeight="1">
      <c r="A777" s="58"/>
      <c r="C777" s="49"/>
      <c r="D777" s="58"/>
      <c r="F777" s="49"/>
      <c r="G777" s="58"/>
      <c r="I777" s="49"/>
      <c r="J777" s="58"/>
      <c r="L777" s="49"/>
      <c r="M777" s="58"/>
      <c r="O777" s="49"/>
    </row>
    <row r="778" ht="15.75" customHeight="1">
      <c r="A778" s="58"/>
      <c r="C778" s="49"/>
      <c r="D778" s="58"/>
      <c r="F778" s="49"/>
      <c r="G778" s="58"/>
      <c r="I778" s="49"/>
      <c r="J778" s="58"/>
      <c r="L778" s="49"/>
      <c r="M778" s="58"/>
      <c r="O778" s="49"/>
    </row>
    <row r="779" ht="15.75" customHeight="1">
      <c r="A779" s="58"/>
      <c r="C779" s="49"/>
      <c r="D779" s="58"/>
      <c r="F779" s="49"/>
      <c r="G779" s="58"/>
      <c r="I779" s="49"/>
      <c r="J779" s="58"/>
      <c r="L779" s="49"/>
      <c r="M779" s="58"/>
      <c r="O779" s="49"/>
    </row>
    <row r="780" ht="15.75" customHeight="1">
      <c r="A780" s="58"/>
      <c r="C780" s="49"/>
      <c r="D780" s="58"/>
      <c r="F780" s="49"/>
      <c r="G780" s="58"/>
      <c r="I780" s="49"/>
      <c r="J780" s="58"/>
      <c r="L780" s="49"/>
      <c r="M780" s="58"/>
      <c r="O780" s="49"/>
    </row>
    <row r="781" ht="15.75" customHeight="1">
      <c r="A781" s="58"/>
      <c r="C781" s="49"/>
      <c r="D781" s="58"/>
      <c r="F781" s="49"/>
      <c r="G781" s="58"/>
      <c r="I781" s="49"/>
      <c r="J781" s="58"/>
      <c r="L781" s="49"/>
      <c r="M781" s="58"/>
      <c r="O781" s="49"/>
    </row>
    <row r="782" ht="15.75" customHeight="1">
      <c r="A782" s="58"/>
      <c r="C782" s="49"/>
      <c r="D782" s="58"/>
      <c r="F782" s="49"/>
      <c r="G782" s="58"/>
      <c r="I782" s="49"/>
      <c r="J782" s="58"/>
      <c r="L782" s="49"/>
      <c r="M782" s="58"/>
      <c r="O782" s="49"/>
    </row>
    <row r="783" ht="15.75" customHeight="1">
      <c r="A783" s="58"/>
      <c r="C783" s="49"/>
      <c r="D783" s="58"/>
      <c r="F783" s="49"/>
      <c r="G783" s="58"/>
      <c r="I783" s="49"/>
      <c r="J783" s="58"/>
      <c r="L783" s="49"/>
      <c r="M783" s="58"/>
      <c r="O783" s="49"/>
    </row>
    <row r="784" ht="15.75" customHeight="1">
      <c r="A784" s="58"/>
      <c r="C784" s="49"/>
      <c r="D784" s="58"/>
      <c r="F784" s="49"/>
      <c r="G784" s="58"/>
      <c r="I784" s="49"/>
      <c r="J784" s="58"/>
      <c r="L784" s="49"/>
      <c r="M784" s="58"/>
      <c r="O784" s="49"/>
    </row>
    <row r="785" ht="15.75" customHeight="1">
      <c r="A785" s="58"/>
      <c r="C785" s="49"/>
      <c r="D785" s="58"/>
      <c r="F785" s="49"/>
      <c r="G785" s="58"/>
      <c r="I785" s="49"/>
      <c r="J785" s="58"/>
      <c r="L785" s="49"/>
      <c r="M785" s="58"/>
      <c r="O785" s="49"/>
    </row>
    <row r="786" ht="15.75" customHeight="1">
      <c r="A786" s="58"/>
      <c r="C786" s="49"/>
      <c r="D786" s="58"/>
      <c r="F786" s="49"/>
      <c r="G786" s="58"/>
      <c r="I786" s="49"/>
      <c r="J786" s="58"/>
      <c r="L786" s="49"/>
      <c r="M786" s="58"/>
      <c r="O786" s="49"/>
    </row>
    <row r="787" ht="15.75" customHeight="1">
      <c r="A787" s="58"/>
      <c r="C787" s="49"/>
      <c r="D787" s="58"/>
      <c r="F787" s="49"/>
      <c r="G787" s="58"/>
      <c r="I787" s="49"/>
      <c r="J787" s="58"/>
      <c r="L787" s="49"/>
      <c r="M787" s="58"/>
      <c r="O787" s="49"/>
    </row>
    <row r="788" ht="15.75" customHeight="1">
      <c r="A788" s="58"/>
      <c r="C788" s="49"/>
      <c r="D788" s="58"/>
      <c r="F788" s="49"/>
      <c r="G788" s="58"/>
      <c r="I788" s="49"/>
      <c r="J788" s="58"/>
      <c r="L788" s="49"/>
      <c r="M788" s="58"/>
      <c r="O788" s="49"/>
    </row>
    <row r="789" ht="15.75" customHeight="1">
      <c r="A789" s="58"/>
      <c r="C789" s="49"/>
      <c r="D789" s="58"/>
      <c r="F789" s="49"/>
      <c r="G789" s="58"/>
      <c r="I789" s="49"/>
      <c r="J789" s="58"/>
      <c r="L789" s="49"/>
      <c r="M789" s="58"/>
      <c r="O789" s="49"/>
    </row>
    <row r="790" ht="15.75" customHeight="1">
      <c r="A790" s="58"/>
      <c r="C790" s="49"/>
      <c r="D790" s="58"/>
      <c r="F790" s="49"/>
      <c r="G790" s="58"/>
      <c r="I790" s="49"/>
      <c r="J790" s="58"/>
      <c r="L790" s="49"/>
      <c r="M790" s="58"/>
      <c r="O790" s="49"/>
    </row>
    <row r="791" ht="15.75" customHeight="1">
      <c r="A791" s="58"/>
      <c r="C791" s="49"/>
      <c r="D791" s="58"/>
      <c r="F791" s="49"/>
      <c r="G791" s="58"/>
      <c r="I791" s="49"/>
      <c r="J791" s="58"/>
      <c r="L791" s="49"/>
      <c r="M791" s="58"/>
      <c r="O791" s="49"/>
    </row>
    <row r="792" ht="15.75" customHeight="1">
      <c r="A792" s="58"/>
      <c r="C792" s="49"/>
      <c r="D792" s="58"/>
      <c r="F792" s="49"/>
      <c r="G792" s="58"/>
      <c r="I792" s="49"/>
      <c r="J792" s="58"/>
      <c r="L792" s="49"/>
      <c r="M792" s="58"/>
      <c r="O792" s="49"/>
    </row>
    <row r="793" ht="15.75" customHeight="1">
      <c r="A793" s="58"/>
      <c r="C793" s="49"/>
      <c r="D793" s="58"/>
      <c r="F793" s="49"/>
      <c r="G793" s="58"/>
      <c r="I793" s="49"/>
      <c r="J793" s="58"/>
      <c r="L793" s="49"/>
      <c r="M793" s="58"/>
      <c r="O793" s="49"/>
    </row>
    <row r="794" ht="15.75" customHeight="1">
      <c r="A794" s="58"/>
      <c r="C794" s="49"/>
      <c r="D794" s="58"/>
      <c r="F794" s="49"/>
      <c r="G794" s="58"/>
      <c r="I794" s="49"/>
      <c r="J794" s="58"/>
      <c r="L794" s="49"/>
      <c r="M794" s="58"/>
      <c r="O794" s="49"/>
    </row>
    <row r="795" ht="15.75" customHeight="1">
      <c r="A795" s="58"/>
      <c r="C795" s="49"/>
      <c r="D795" s="58"/>
      <c r="F795" s="49"/>
      <c r="G795" s="58"/>
      <c r="I795" s="49"/>
      <c r="J795" s="58"/>
      <c r="L795" s="49"/>
      <c r="M795" s="58"/>
      <c r="O795" s="49"/>
    </row>
    <row r="796" ht="15.75" customHeight="1">
      <c r="A796" s="58"/>
      <c r="C796" s="49"/>
      <c r="D796" s="58"/>
      <c r="F796" s="49"/>
      <c r="G796" s="58"/>
      <c r="I796" s="49"/>
      <c r="J796" s="58"/>
      <c r="L796" s="49"/>
      <c r="M796" s="58"/>
      <c r="O796" s="49"/>
    </row>
    <row r="797" ht="15.75" customHeight="1">
      <c r="A797" s="58"/>
      <c r="C797" s="49"/>
      <c r="D797" s="58"/>
      <c r="F797" s="49"/>
      <c r="G797" s="58"/>
      <c r="I797" s="49"/>
      <c r="J797" s="58"/>
      <c r="L797" s="49"/>
      <c r="M797" s="58"/>
      <c r="O797" s="49"/>
    </row>
    <row r="798" ht="15.75" customHeight="1">
      <c r="A798" s="58"/>
      <c r="C798" s="49"/>
      <c r="D798" s="58"/>
      <c r="F798" s="49"/>
      <c r="G798" s="58"/>
      <c r="I798" s="49"/>
      <c r="J798" s="58"/>
      <c r="L798" s="49"/>
      <c r="M798" s="58"/>
      <c r="O798" s="49"/>
    </row>
    <row r="799" ht="15.75" customHeight="1">
      <c r="A799" s="58"/>
      <c r="C799" s="49"/>
      <c r="D799" s="58"/>
      <c r="F799" s="49"/>
      <c r="G799" s="58"/>
      <c r="I799" s="49"/>
      <c r="J799" s="58"/>
      <c r="L799" s="49"/>
      <c r="M799" s="58"/>
      <c r="O799" s="49"/>
    </row>
    <row r="800" ht="15.75" customHeight="1">
      <c r="A800" s="58"/>
      <c r="C800" s="49"/>
      <c r="D800" s="58"/>
      <c r="F800" s="49"/>
      <c r="G800" s="58"/>
      <c r="I800" s="49"/>
      <c r="J800" s="58"/>
      <c r="L800" s="49"/>
      <c r="M800" s="58"/>
      <c r="O800" s="49"/>
    </row>
    <row r="801" ht="15.75" customHeight="1">
      <c r="A801" s="58"/>
      <c r="C801" s="49"/>
      <c r="D801" s="58"/>
      <c r="F801" s="49"/>
      <c r="G801" s="58"/>
      <c r="I801" s="49"/>
      <c r="J801" s="58"/>
      <c r="L801" s="49"/>
      <c r="M801" s="58"/>
      <c r="O801" s="49"/>
    </row>
    <row r="802" ht="15.75" customHeight="1">
      <c r="A802" s="58"/>
      <c r="C802" s="49"/>
      <c r="D802" s="58"/>
      <c r="F802" s="49"/>
      <c r="G802" s="58"/>
      <c r="I802" s="49"/>
      <c r="J802" s="58"/>
      <c r="L802" s="49"/>
      <c r="M802" s="58"/>
      <c r="O802" s="49"/>
    </row>
    <row r="803" ht="15.75" customHeight="1">
      <c r="A803" s="58"/>
      <c r="C803" s="49"/>
      <c r="D803" s="58"/>
      <c r="F803" s="49"/>
      <c r="G803" s="58"/>
      <c r="I803" s="49"/>
      <c r="J803" s="58"/>
      <c r="L803" s="49"/>
      <c r="M803" s="58"/>
      <c r="O803" s="49"/>
    </row>
    <row r="804" ht="15.75" customHeight="1">
      <c r="A804" s="58"/>
      <c r="C804" s="49"/>
      <c r="D804" s="58"/>
      <c r="F804" s="49"/>
      <c r="G804" s="58"/>
      <c r="I804" s="49"/>
      <c r="J804" s="58"/>
      <c r="L804" s="49"/>
      <c r="M804" s="58"/>
      <c r="O804" s="49"/>
    </row>
    <row r="805" ht="15.75" customHeight="1">
      <c r="A805" s="58"/>
      <c r="C805" s="49"/>
      <c r="D805" s="58"/>
      <c r="F805" s="49"/>
      <c r="G805" s="58"/>
      <c r="I805" s="49"/>
      <c r="J805" s="58"/>
      <c r="L805" s="49"/>
      <c r="M805" s="58"/>
      <c r="O805" s="49"/>
    </row>
    <row r="806" ht="15.75" customHeight="1">
      <c r="A806" s="58"/>
      <c r="C806" s="49"/>
      <c r="D806" s="58"/>
      <c r="F806" s="49"/>
      <c r="G806" s="58"/>
      <c r="I806" s="49"/>
      <c r="J806" s="58"/>
      <c r="L806" s="49"/>
      <c r="M806" s="58"/>
      <c r="O806" s="49"/>
    </row>
    <row r="807" ht="15.75" customHeight="1">
      <c r="A807" s="58"/>
      <c r="C807" s="49"/>
      <c r="D807" s="58"/>
      <c r="F807" s="49"/>
      <c r="G807" s="58"/>
      <c r="I807" s="49"/>
      <c r="J807" s="58"/>
      <c r="L807" s="49"/>
      <c r="M807" s="58"/>
      <c r="O807" s="49"/>
    </row>
    <row r="808" ht="15.75" customHeight="1">
      <c r="A808" s="58"/>
      <c r="C808" s="49"/>
      <c r="D808" s="58"/>
      <c r="F808" s="49"/>
      <c r="G808" s="58"/>
      <c r="I808" s="49"/>
      <c r="J808" s="58"/>
      <c r="L808" s="49"/>
      <c r="M808" s="58"/>
      <c r="O808" s="49"/>
    </row>
    <row r="809" ht="15.75" customHeight="1">
      <c r="A809" s="58"/>
      <c r="C809" s="49"/>
      <c r="D809" s="58"/>
      <c r="F809" s="49"/>
      <c r="G809" s="58"/>
      <c r="I809" s="49"/>
      <c r="J809" s="58"/>
      <c r="L809" s="49"/>
      <c r="M809" s="58"/>
      <c r="O809" s="49"/>
    </row>
    <row r="810" ht="15.75" customHeight="1">
      <c r="A810" s="58"/>
      <c r="C810" s="49"/>
      <c r="D810" s="58"/>
      <c r="F810" s="49"/>
      <c r="G810" s="58"/>
      <c r="I810" s="49"/>
      <c r="J810" s="58"/>
      <c r="L810" s="49"/>
      <c r="M810" s="58"/>
      <c r="O810" s="49"/>
    </row>
    <row r="811" ht="15.75" customHeight="1">
      <c r="A811" s="58"/>
      <c r="C811" s="49"/>
      <c r="D811" s="58"/>
      <c r="F811" s="49"/>
      <c r="G811" s="58"/>
      <c r="I811" s="49"/>
      <c r="J811" s="58"/>
      <c r="L811" s="49"/>
      <c r="M811" s="58"/>
      <c r="O811" s="49"/>
    </row>
    <row r="812" ht="15.75" customHeight="1">
      <c r="A812" s="58"/>
      <c r="C812" s="49"/>
      <c r="D812" s="58"/>
      <c r="F812" s="49"/>
      <c r="G812" s="58"/>
      <c r="I812" s="49"/>
      <c r="J812" s="58"/>
      <c r="L812" s="49"/>
      <c r="M812" s="58"/>
      <c r="O812" s="49"/>
    </row>
    <row r="813" ht="15.75" customHeight="1">
      <c r="A813" s="58"/>
      <c r="C813" s="49"/>
      <c r="D813" s="58"/>
      <c r="F813" s="49"/>
      <c r="G813" s="58"/>
      <c r="I813" s="49"/>
      <c r="J813" s="58"/>
      <c r="L813" s="49"/>
      <c r="M813" s="58"/>
      <c r="O813" s="49"/>
    </row>
    <row r="814" ht="15.75" customHeight="1">
      <c r="A814" s="58"/>
      <c r="C814" s="49"/>
      <c r="D814" s="58"/>
      <c r="F814" s="49"/>
      <c r="G814" s="58"/>
      <c r="I814" s="49"/>
      <c r="J814" s="58"/>
      <c r="L814" s="49"/>
      <c r="M814" s="58"/>
      <c r="O814" s="49"/>
    </row>
    <row r="815" ht="15.75" customHeight="1">
      <c r="A815" s="58"/>
      <c r="C815" s="49"/>
      <c r="D815" s="58"/>
      <c r="F815" s="49"/>
      <c r="G815" s="58"/>
      <c r="I815" s="49"/>
      <c r="J815" s="58"/>
      <c r="L815" s="49"/>
      <c r="M815" s="58"/>
      <c r="O815" s="49"/>
    </row>
    <row r="816" ht="15.75" customHeight="1">
      <c r="A816" s="58"/>
      <c r="C816" s="49"/>
      <c r="D816" s="58"/>
      <c r="F816" s="49"/>
      <c r="G816" s="58"/>
      <c r="I816" s="49"/>
      <c r="J816" s="58"/>
      <c r="L816" s="49"/>
      <c r="M816" s="58"/>
      <c r="O816" s="49"/>
    </row>
    <row r="817" ht="15.75" customHeight="1">
      <c r="A817" s="58"/>
      <c r="C817" s="49"/>
      <c r="D817" s="58"/>
      <c r="F817" s="49"/>
      <c r="G817" s="58"/>
      <c r="I817" s="49"/>
      <c r="J817" s="58"/>
      <c r="L817" s="49"/>
      <c r="M817" s="58"/>
      <c r="O817" s="49"/>
    </row>
    <row r="818" ht="15.75" customHeight="1">
      <c r="A818" s="58"/>
      <c r="C818" s="49"/>
      <c r="D818" s="58"/>
      <c r="F818" s="49"/>
      <c r="G818" s="58"/>
      <c r="I818" s="49"/>
      <c r="J818" s="58"/>
      <c r="L818" s="49"/>
      <c r="M818" s="58"/>
      <c r="O818" s="49"/>
    </row>
    <row r="819" ht="15.75" customHeight="1">
      <c r="A819" s="58"/>
      <c r="C819" s="49"/>
      <c r="D819" s="58"/>
      <c r="F819" s="49"/>
      <c r="G819" s="58"/>
      <c r="I819" s="49"/>
      <c r="J819" s="58"/>
      <c r="L819" s="49"/>
      <c r="M819" s="58"/>
      <c r="O819" s="49"/>
    </row>
    <row r="820" ht="15.75" customHeight="1">
      <c r="A820" s="58"/>
      <c r="C820" s="49"/>
      <c r="D820" s="58"/>
      <c r="F820" s="49"/>
      <c r="G820" s="58"/>
      <c r="I820" s="49"/>
      <c r="J820" s="58"/>
      <c r="L820" s="49"/>
      <c r="M820" s="58"/>
      <c r="O820" s="49"/>
    </row>
    <row r="821" ht="15.75" customHeight="1">
      <c r="A821" s="58"/>
      <c r="C821" s="49"/>
      <c r="D821" s="58"/>
      <c r="F821" s="49"/>
      <c r="G821" s="58"/>
      <c r="I821" s="49"/>
      <c r="J821" s="58"/>
      <c r="L821" s="49"/>
      <c r="M821" s="58"/>
      <c r="O821" s="49"/>
    </row>
    <row r="822" ht="15.75" customHeight="1">
      <c r="A822" s="58"/>
      <c r="C822" s="49"/>
      <c r="D822" s="58"/>
      <c r="F822" s="49"/>
      <c r="G822" s="58"/>
      <c r="I822" s="49"/>
      <c r="J822" s="58"/>
      <c r="L822" s="49"/>
      <c r="M822" s="58"/>
      <c r="O822" s="49"/>
    </row>
    <row r="823" ht="15.75" customHeight="1">
      <c r="A823" s="58"/>
      <c r="C823" s="49"/>
      <c r="D823" s="58"/>
      <c r="F823" s="49"/>
      <c r="G823" s="58"/>
      <c r="I823" s="49"/>
      <c r="J823" s="58"/>
      <c r="L823" s="49"/>
      <c r="M823" s="58"/>
      <c r="O823" s="49"/>
    </row>
    <row r="824" ht="15.75" customHeight="1">
      <c r="A824" s="58"/>
      <c r="C824" s="49"/>
      <c r="D824" s="58"/>
      <c r="F824" s="49"/>
      <c r="G824" s="58"/>
      <c r="I824" s="49"/>
      <c r="J824" s="58"/>
      <c r="L824" s="49"/>
      <c r="M824" s="58"/>
      <c r="O824" s="49"/>
    </row>
    <row r="825" ht="15.75" customHeight="1">
      <c r="A825" s="58"/>
      <c r="C825" s="49"/>
      <c r="D825" s="58"/>
      <c r="F825" s="49"/>
      <c r="G825" s="58"/>
      <c r="I825" s="49"/>
      <c r="J825" s="58"/>
      <c r="L825" s="49"/>
      <c r="M825" s="58"/>
      <c r="O825" s="49"/>
    </row>
    <row r="826" ht="15.75" customHeight="1">
      <c r="A826" s="58"/>
      <c r="C826" s="49"/>
      <c r="D826" s="58"/>
      <c r="F826" s="49"/>
      <c r="G826" s="58"/>
      <c r="I826" s="49"/>
      <c r="J826" s="58"/>
      <c r="L826" s="49"/>
      <c r="M826" s="58"/>
      <c r="O826" s="49"/>
    </row>
    <row r="827" ht="15.75" customHeight="1">
      <c r="A827" s="58"/>
      <c r="C827" s="49"/>
      <c r="D827" s="58"/>
      <c r="F827" s="49"/>
      <c r="G827" s="58"/>
      <c r="I827" s="49"/>
      <c r="J827" s="58"/>
      <c r="L827" s="49"/>
      <c r="M827" s="58"/>
      <c r="O827" s="49"/>
    </row>
    <row r="828" ht="15.75" customHeight="1">
      <c r="A828" s="58"/>
      <c r="C828" s="49"/>
      <c r="D828" s="58"/>
      <c r="F828" s="49"/>
      <c r="G828" s="58"/>
      <c r="I828" s="49"/>
      <c r="J828" s="58"/>
      <c r="L828" s="49"/>
      <c r="M828" s="58"/>
      <c r="O828" s="49"/>
    </row>
    <row r="829" ht="15.75" customHeight="1">
      <c r="A829" s="58"/>
      <c r="C829" s="49"/>
      <c r="D829" s="58"/>
      <c r="F829" s="49"/>
      <c r="G829" s="58"/>
      <c r="I829" s="49"/>
      <c r="J829" s="58"/>
      <c r="L829" s="49"/>
      <c r="M829" s="58"/>
      <c r="O829" s="49"/>
    </row>
    <row r="830" ht="15.75" customHeight="1">
      <c r="A830" s="58"/>
      <c r="C830" s="49"/>
      <c r="D830" s="58"/>
      <c r="F830" s="49"/>
      <c r="G830" s="58"/>
      <c r="I830" s="49"/>
      <c r="J830" s="58"/>
      <c r="L830" s="49"/>
      <c r="M830" s="58"/>
      <c r="O830" s="49"/>
    </row>
    <row r="831" ht="15.75" customHeight="1">
      <c r="A831" s="58"/>
      <c r="C831" s="49"/>
      <c r="D831" s="58"/>
      <c r="F831" s="49"/>
      <c r="G831" s="58"/>
      <c r="I831" s="49"/>
      <c r="J831" s="58"/>
      <c r="L831" s="49"/>
      <c r="M831" s="58"/>
      <c r="O831" s="49"/>
    </row>
    <row r="832" ht="15.75" customHeight="1">
      <c r="A832" s="58"/>
      <c r="C832" s="49"/>
      <c r="D832" s="58"/>
      <c r="F832" s="49"/>
      <c r="G832" s="58"/>
      <c r="I832" s="49"/>
      <c r="J832" s="58"/>
      <c r="L832" s="49"/>
      <c r="M832" s="58"/>
      <c r="O832" s="49"/>
    </row>
    <row r="833" ht="15.75" customHeight="1">
      <c r="A833" s="58"/>
      <c r="C833" s="49"/>
      <c r="D833" s="58"/>
      <c r="F833" s="49"/>
      <c r="G833" s="58"/>
      <c r="I833" s="49"/>
      <c r="J833" s="58"/>
      <c r="L833" s="49"/>
      <c r="M833" s="58"/>
      <c r="O833" s="49"/>
    </row>
    <row r="834" ht="15.75" customHeight="1">
      <c r="A834" s="58"/>
      <c r="C834" s="49"/>
      <c r="D834" s="58"/>
      <c r="F834" s="49"/>
      <c r="G834" s="58"/>
      <c r="I834" s="49"/>
      <c r="J834" s="58"/>
      <c r="L834" s="49"/>
      <c r="M834" s="58"/>
      <c r="O834" s="49"/>
    </row>
    <row r="835" ht="15.75" customHeight="1">
      <c r="A835" s="58"/>
      <c r="C835" s="49"/>
      <c r="D835" s="58"/>
      <c r="F835" s="49"/>
      <c r="G835" s="58"/>
      <c r="I835" s="49"/>
      <c r="J835" s="58"/>
      <c r="L835" s="49"/>
      <c r="M835" s="58"/>
      <c r="O835" s="49"/>
    </row>
    <row r="836" ht="15.75" customHeight="1">
      <c r="A836" s="58"/>
      <c r="C836" s="49"/>
      <c r="D836" s="58"/>
      <c r="F836" s="49"/>
      <c r="G836" s="58"/>
      <c r="I836" s="49"/>
      <c r="J836" s="58"/>
      <c r="L836" s="49"/>
      <c r="M836" s="58"/>
      <c r="O836" s="49"/>
    </row>
    <row r="837" ht="15.75" customHeight="1">
      <c r="A837" s="58"/>
      <c r="C837" s="49"/>
      <c r="D837" s="58"/>
      <c r="F837" s="49"/>
      <c r="G837" s="58"/>
      <c r="I837" s="49"/>
      <c r="J837" s="58"/>
      <c r="L837" s="49"/>
      <c r="M837" s="58"/>
      <c r="O837" s="49"/>
    </row>
    <row r="838" ht="15.75" customHeight="1">
      <c r="A838" s="58"/>
      <c r="C838" s="49"/>
      <c r="D838" s="58"/>
      <c r="F838" s="49"/>
      <c r="G838" s="58"/>
      <c r="I838" s="49"/>
      <c r="J838" s="58"/>
      <c r="L838" s="49"/>
      <c r="M838" s="58"/>
      <c r="O838" s="49"/>
    </row>
    <row r="839" ht="15.75" customHeight="1">
      <c r="A839" s="58"/>
      <c r="C839" s="49"/>
      <c r="D839" s="58"/>
      <c r="F839" s="49"/>
      <c r="G839" s="58"/>
      <c r="I839" s="49"/>
      <c r="J839" s="58"/>
      <c r="L839" s="49"/>
      <c r="M839" s="58"/>
      <c r="O839" s="49"/>
    </row>
    <row r="840" ht="15.75" customHeight="1">
      <c r="A840" s="58"/>
      <c r="C840" s="49"/>
      <c r="D840" s="58"/>
      <c r="F840" s="49"/>
      <c r="G840" s="58"/>
      <c r="I840" s="49"/>
      <c r="J840" s="58"/>
      <c r="L840" s="49"/>
      <c r="M840" s="58"/>
      <c r="O840" s="49"/>
    </row>
    <row r="841" ht="15.75" customHeight="1">
      <c r="A841" s="58"/>
      <c r="C841" s="49"/>
      <c r="D841" s="58"/>
      <c r="F841" s="49"/>
      <c r="G841" s="58"/>
      <c r="I841" s="49"/>
      <c r="J841" s="58"/>
      <c r="L841" s="49"/>
      <c r="M841" s="58"/>
      <c r="O841" s="49"/>
    </row>
    <row r="842" ht="15.75" customHeight="1">
      <c r="A842" s="58"/>
      <c r="C842" s="49"/>
      <c r="D842" s="58"/>
      <c r="F842" s="49"/>
      <c r="G842" s="58"/>
      <c r="I842" s="49"/>
      <c r="J842" s="58"/>
      <c r="L842" s="49"/>
      <c r="M842" s="58"/>
      <c r="O842" s="49"/>
    </row>
    <row r="843" ht="15.75" customHeight="1">
      <c r="A843" s="58"/>
      <c r="C843" s="49"/>
      <c r="D843" s="58"/>
      <c r="F843" s="49"/>
      <c r="G843" s="58"/>
      <c r="I843" s="49"/>
      <c r="J843" s="58"/>
      <c r="L843" s="49"/>
      <c r="M843" s="58"/>
      <c r="O843" s="49"/>
    </row>
    <row r="844" ht="15.75" customHeight="1">
      <c r="A844" s="58"/>
      <c r="C844" s="49"/>
      <c r="D844" s="58"/>
      <c r="F844" s="49"/>
      <c r="G844" s="58"/>
      <c r="I844" s="49"/>
      <c r="J844" s="58"/>
      <c r="L844" s="49"/>
      <c r="M844" s="58"/>
      <c r="O844" s="49"/>
    </row>
    <row r="845" ht="15.75" customHeight="1">
      <c r="A845" s="58"/>
      <c r="C845" s="49"/>
      <c r="D845" s="58"/>
      <c r="F845" s="49"/>
      <c r="G845" s="58"/>
      <c r="I845" s="49"/>
      <c r="J845" s="58"/>
      <c r="L845" s="49"/>
      <c r="M845" s="58"/>
      <c r="O845" s="49"/>
    </row>
    <row r="846" ht="15.75" customHeight="1">
      <c r="A846" s="58"/>
      <c r="C846" s="49"/>
      <c r="D846" s="58"/>
      <c r="F846" s="49"/>
      <c r="G846" s="58"/>
      <c r="I846" s="49"/>
      <c r="J846" s="58"/>
      <c r="L846" s="49"/>
      <c r="M846" s="58"/>
      <c r="O846" s="49"/>
    </row>
    <row r="847" ht="15.75" customHeight="1">
      <c r="A847" s="58"/>
      <c r="C847" s="49"/>
      <c r="D847" s="58"/>
      <c r="F847" s="49"/>
      <c r="G847" s="58"/>
      <c r="I847" s="49"/>
      <c r="J847" s="58"/>
      <c r="L847" s="49"/>
      <c r="M847" s="58"/>
      <c r="O847" s="49"/>
    </row>
    <row r="848" ht="15.75" customHeight="1">
      <c r="A848" s="58"/>
      <c r="C848" s="49"/>
      <c r="D848" s="58"/>
      <c r="F848" s="49"/>
      <c r="G848" s="58"/>
      <c r="I848" s="49"/>
      <c r="J848" s="58"/>
      <c r="L848" s="49"/>
      <c r="M848" s="58"/>
      <c r="O848" s="49"/>
    </row>
    <row r="849" ht="15.75" customHeight="1">
      <c r="A849" s="58"/>
      <c r="C849" s="49"/>
      <c r="D849" s="58"/>
      <c r="F849" s="49"/>
      <c r="G849" s="58"/>
      <c r="I849" s="49"/>
      <c r="J849" s="58"/>
      <c r="L849" s="49"/>
      <c r="M849" s="58"/>
      <c r="O849" s="49"/>
    </row>
    <row r="850" ht="15.75" customHeight="1">
      <c r="A850" s="58"/>
      <c r="C850" s="49"/>
      <c r="D850" s="58"/>
      <c r="F850" s="49"/>
      <c r="G850" s="58"/>
      <c r="I850" s="49"/>
      <c r="J850" s="58"/>
      <c r="L850" s="49"/>
      <c r="M850" s="58"/>
      <c r="O850" s="49"/>
    </row>
    <row r="851" ht="15.75" customHeight="1">
      <c r="A851" s="58"/>
      <c r="C851" s="49"/>
      <c r="D851" s="58"/>
      <c r="F851" s="49"/>
      <c r="G851" s="58"/>
      <c r="I851" s="49"/>
      <c r="J851" s="58"/>
      <c r="L851" s="49"/>
      <c r="M851" s="58"/>
      <c r="O851" s="49"/>
    </row>
    <row r="852" ht="15.75" customHeight="1">
      <c r="A852" s="58"/>
      <c r="C852" s="49"/>
      <c r="D852" s="58"/>
      <c r="F852" s="49"/>
      <c r="G852" s="58"/>
      <c r="I852" s="49"/>
      <c r="J852" s="58"/>
      <c r="L852" s="49"/>
      <c r="M852" s="58"/>
      <c r="O852" s="49"/>
    </row>
    <row r="853" ht="15.75" customHeight="1">
      <c r="A853" s="58"/>
      <c r="C853" s="49"/>
      <c r="D853" s="58"/>
      <c r="F853" s="49"/>
      <c r="G853" s="58"/>
      <c r="I853" s="49"/>
      <c r="J853" s="58"/>
      <c r="L853" s="49"/>
      <c r="M853" s="58"/>
      <c r="O853" s="49"/>
    </row>
    <row r="854" ht="15.75" customHeight="1">
      <c r="A854" s="58"/>
      <c r="C854" s="49"/>
      <c r="D854" s="58"/>
      <c r="F854" s="49"/>
      <c r="G854" s="58"/>
      <c r="I854" s="49"/>
      <c r="J854" s="58"/>
      <c r="L854" s="49"/>
      <c r="M854" s="58"/>
      <c r="O854" s="49"/>
    </row>
    <row r="855" ht="15.75" customHeight="1">
      <c r="A855" s="58"/>
      <c r="C855" s="49"/>
      <c r="D855" s="58"/>
      <c r="F855" s="49"/>
      <c r="G855" s="58"/>
      <c r="I855" s="49"/>
      <c r="J855" s="58"/>
      <c r="L855" s="49"/>
      <c r="M855" s="58"/>
      <c r="O855" s="49"/>
    </row>
    <row r="856" ht="15.75" customHeight="1">
      <c r="A856" s="58"/>
      <c r="C856" s="49"/>
      <c r="D856" s="58"/>
      <c r="F856" s="49"/>
      <c r="G856" s="58"/>
      <c r="I856" s="49"/>
      <c r="J856" s="58"/>
      <c r="L856" s="49"/>
      <c r="M856" s="58"/>
      <c r="O856" s="49"/>
    </row>
    <row r="857" ht="15.75" customHeight="1">
      <c r="A857" s="58"/>
      <c r="C857" s="49"/>
      <c r="D857" s="58"/>
      <c r="F857" s="49"/>
      <c r="G857" s="58"/>
      <c r="I857" s="49"/>
      <c r="J857" s="58"/>
      <c r="L857" s="49"/>
      <c r="M857" s="58"/>
      <c r="O857" s="49"/>
    </row>
    <row r="858" ht="15.75" customHeight="1">
      <c r="A858" s="58"/>
      <c r="C858" s="49"/>
      <c r="D858" s="58"/>
      <c r="F858" s="49"/>
      <c r="G858" s="58"/>
      <c r="I858" s="49"/>
      <c r="J858" s="58"/>
      <c r="L858" s="49"/>
      <c r="M858" s="58"/>
      <c r="O858" s="49"/>
    </row>
    <row r="859" ht="15.75" customHeight="1">
      <c r="A859" s="58"/>
      <c r="C859" s="49"/>
      <c r="D859" s="58"/>
      <c r="F859" s="49"/>
      <c r="G859" s="58"/>
      <c r="I859" s="49"/>
      <c r="J859" s="58"/>
      <c r="L859" s="49"/>
      <c r="M859" s="58"/>
      <c r="O859" s="49"/>
    </row>
    <row r="860" ht="15.75" customHeight="1">
      <c r="A860" s="58"/>
      <c r="C860" s="49"/>
      <c r="D860" s="58"/>
      <c r="F860" s="49"/>
      <c r="G860" s="58"/>
      <c r="I860" s="49"/>
      <c r="J860" s="58"/>
      <c r="L860" s="49"/>
      <c r="M860" s="58"/>
      <c r="O860" s="49"/>
    </row>
    <row r="861" ht="15.75" customHeight="1">
      <c r="A861" s="58"/>
      <c r="C861" s="49"/>
      <c r="D861" s="58"/>
      <c r="F861" s="49"/>
      <c r="G861" s="58"/>
      <c r="I861" s="49"/>
      <c r="J861" s="58"/>
      <c r="L861" s="49"/>
      <c r="M861" s="58"/>
      <c r="O861" s="49"/>
    </row>
    <row r="862" ht="15.75" customHeight="1">
      <c r="A862" s="58"/>
      <c r="C862" s="49"/>
      <c r="D862" s="58"/>
      <c r="F862" s="49"/>
      <c r="G862" s="58"/>
      <c r="I862" s="49"/>
      <c r="J862" s="58"/>
      <c r="L862" s="49"/>
      <c r="M862" s="58"/>
      <c r="O862" s="49"/>
    </row>
    <row r="863" ht="15.75" customHeight="1">
      <c r="A863" s="58"/>
      <c r="C863" s="49"/>
      <c r="D863" s="58"/>
      <c r="F863" s="49"/>
      <c r="G863" s="58"/>
      <c r="I863" s="49"/>
      <c r="J863" s="58"/>
      <c r="L863" s="49"/>
      <c r="M863" s="58"/>
      <c r="O863" s="49"/>
    </row>
    <row r="864" ht="15.75" customHeight="1">
      <c r="A864" s="58"/>
      <c r="C864" s="49"/>
      <c r="D864" s="58"/>
      <c r="F864" s="49"/>
      <c r="G864" s="58"/>
      <c r="I864" s="49"/>
      <c r="J864" s="58"/>
      <c r="L864" s="49"/>
      <c r="M864" s="58"/>
      <c r="O864" s="49"/>
    </row>
    <row r="865" ht="15.75" customHeight="1">
      <c r="A865" s="58"/>
      <c r="C865" s="49"/>
      <c r="D865" s="58"/>
      <c r="F865" s="49"/>
      <c r="G865" s="58"/>
      <c r="I865" s="49"/>
      <c r="J865" s="58"/>
      <c r="L865" s="49"/>
      <c r="M865" s="58"/>
      <c r="O865" s="49"/>
    </row>
    <row r="866" ht="15.75" customHeight="1">
      <c r="A866" s="58"/>
      <c r="C866" s="49"/>
      <c r="D866" s="58"/>
      <c r="F866" s="49"/>
      <c r="G866" s="58"/>
      <c r="I866" s="49"/>
      <c r="J866" s="58"/>
      <c r="L866" s="49"/>
      <c r="M866" s="58"/>
      <c r="O866" s="49"/>
    </row>
    <row r="867" ht="15.75" customHeight="1">
      <c r="A867" s="58"/>
      <c r="C867" s="49"/>
      <c r="D867" s="58"/>
      <c r="F867" s="49"/>
      <c r="G867" s="58"/>
      <c r="I867" s="49"/>
      <c r="J867" s="58"/>
      <c r="L867" s="49"/>
      <c r="M867" s="58"/>
      <c r="O867" s="49"/>
    </row>
    <row r="868" ht="15.75" customHeight="1">
      <c r="A868" s="58"/>
      <c r="C868" s="49"/>
      <c r="D868" s="58"/>
      <c r="F868" s="49"/>
      <c r="G868" s="58"/>
      <c r="I868" s="49"/>
      <c r="J868" s="58"/>
      <c r="L868" s="49"/>
      <c r="M868" s="58"/>
      <c r="O868" s="49"/>
    </row>
    <row r="869" ht="15.75" customHeight="1">
      <c r="A869" s="58"/>
      <c r="C869" s="49"/>
      <c r="D869" s="58"/>
      <c r="F869" s="49"/>
      <c r="G869" s="58"/>
      <c r="I869" s="49"/>
      <c r="J869" s="58"/>
      <c r="L869" s="49"/>
      <c r="M869" s="58"/>
      <c r="O869" s="49"/>
    </row>
    <row r="870" ht="15.75" customHeight="1">
      <c r="A870" s="58"/>
      <c r="C870" s="49"/>
      <c r="D870" s="58"/>
      <c r="F870" s="49"/>
      <c r="G870" s="58"/>
      <c r="I870" s="49"/>
      <c r="J870" s="58"/>
      <c r="L870" s="49"/>
      <c r="M870" s="58"/>
      <c r="O870" s="49"/>
    </row>
    <row r="871" ht="15.75" customHeight="1">
      <c r="A871" s="58"/>
      <c r="C871" s="49"/>
      <c r="D871" s="58"/>
      <c r="F871" s="49"/>
      <c r="G871" s="58"/>
      <c r="I871" s="49"/>
      <c r="J871" s="58"/>
      <c r="L871" s="49"/>
      <c r="M871" s="58"/>
      <c r="O871" s="49"/>
    </row>
    <row r="872" ht="15.75" customHeight="1">
      <c r="A872" s="58"/>
      <c r="C872" s="49"/>
      <c r="D872" s="58"/>
      <c r="F872" s="49"/>
      <c r="G872" s="58"/>
      <c r="I872" s="49"/>
      <c r="J872" s="58"/>
      <c r="L872" s="49"/>
      <c r="M872" s="58"/>
      <c r="O872" s="49"/>
    </row>
    <row r="873" ht="15.75" customHeight="1">
      <c r="A873" s="58"/>
      <c r="C873" s="49"/>
      <c r="D873" s="58"/>
      <c r="F873" s="49"/>
      <c r="G873" s="58"/>
      <c r="I873" s="49"/>
      <c r="J873" s="58"/>
      <c r="L873" s="49"/>
      <c r="M873" s="58"/>
      <c r="O873" s="49"/>
    </row>
    <row r="874" ht="15.75" customHeight="1">
      <c r="A874" s="58"/>
      <c r="C874" s="49"/>
      <c r="D874" s="58"/>
      <c r="F874" s="49"/>
      <c r="G874" s="58"/>
      <c r="I874" s="49"/>
      <c r="J874" s="58"/>
      <c r="L874" s="49"/>
      <c r="M874" s="58"/>
      <c r="O874" s="49"/>
    </row>
    <row r="875" ht="15.75" customHeight="1">
      <c r="A875" s="58"/>
      <c r="C875" s="49"/>
      <c r="D875" s="58"/>
      <c r="F875" s="49"/>
      <c r="G875" s="58"/>
      <c r="I875" s="49"/>
      <c r="J875" s="58"/>
      <c r="L875" s="49"/>
      <c r="M875" s="58"/>
      <c r="O875" s="49"/>
    </row>
    <row r="876" ht="15.75" customHeight="1">
      <c r="A876" s="58"/>
      <c r="C876" s="49"/>
      <c r="D876" s="58"/>
      <c r="F876" s="49"/>
      <c r="G876" s="58"/>
      <c r="I876" s="49"/>
      <c r="J876" s="58"/>
      <c r="L876" s="49"/>
      <c r="M876" s="58"/>
      <c r="O876" s="49"/>
    </row>
    <row r="877" ht="15.75" customHeight="1">
      <c r="A877" s="58"/>
      <c r="C877" s="49"/>
      <c r="D877" s="58"/>
      <c r="F877" s="49"/>
      <c r="G877" s="58"/>
      <c r="I877" s="49"/>
      <c r="J877" s="58"/>
      <c r="L877" s="49"/>
      <c r="M877" s="58"/>
      <c r="O877" s="49"/>
    </row>
    <row r="878" ht="15.75" customHeight="1">
      <c r="A878" s="58"/>
      <c r="C878" s="49"/>
      <c r="D878" s="58"/>
      <c r="F878" s="49"/>
      <c r="G878" s="58"/>
      <c r="I878" s="49"/>
      <c r="J878" s="58"/>
      <c r="L878" s="49"/>
      <c r="M878" s="58"/>
      <c r="O878" s="49"/>
    </row>
    <row r="879" ht="15.75" customHeight="1">
      <c r="A879" s="58"/>
      <c r="C879" s="49"/>
      <c r="D879" s="58"/>
      <c r="F879" s="49"/>
      <c r="G879" s="58"/>
      <c r="I879" s="49"/>
      <c r="J879" s="58"/>
      <c r="L879" s="49"/>
      <c r="M879" s="58"/>
      <c r="O879" s="49"/>
    </row>
    <row r="880" ht="15.75" customHeight="1">
      <c r="A880" s="58"/>
      <c r="C880" s="49"/>
      <c r="D880" s="58"/>
      <c r="F880" s="49"/>
      <c r="G880" s="58"/>
      <c r="I880" s="49"/>
      <c r="J880" s="58"/>
      <c r="L880" s="49"/>
      <c r="M880" s="58"/>
      <c r="O880" s="49"/>
    </row>
    <row r="881" ht="15.75" customHeight="1">
      <c r="A881" s="58"/>
      <c r="C881" s="49"/>
      <c r="D881" s="58"/>
      <c r="F881" s="49"/>
      <c r="G881" s="58"/>
      <c r="I881" s="49"/>
      <c r="J881" s="58"/>
      <c r="L881" s="49"/>
      <c r="M881" s="58"/>
      <c r="O881" s="49"/>
    </row>
    <row r="882" ht="15.75" customHeight="1">
      <c r="A882" s="58"/>
      <c r="C882" s="49"/>
      <c r="D882" s="58"/>
      <c r="F882" s="49"/>
      <c r="G882" s="58"/>
      <c r="I882" s="49"/>
      <c r="J882" s="58"/>
      <c r="L882" s="49"/>
      <c r="M882" s="58"/>
      <c r="O882" s="49"/>
    </row>
    <row r="883" ht="15.75" customHeight="1">
      <c r="A883" s="58"/>
      <c r="C883" s="49"/>
      <c r="D883" s="58"/>
      <c r="F883" s="49"/>
      <c r="G883" s="58"/>
      <c r="I883" s="49"/>
      <c r="J883" s="58"/>
      <c r="L883" s="49"/>
      <c r="M883" s="58"/>
      <c r="O883" s="49"/>
    </row>
    <row r="884" ht="15.75" customHeight="1">
      <c r="A884" s="58"/>
      <c r="C884" s="49"/>
      <c r="D884" s="58"/>
      <c r="F884" s="49"/>
      <c r="G884" s="58"/>
      <c r="I884" s="49"/>
      <c r="J884" s="58"/>
      <c r="L884" s="49"/>
      <c r="M884" s="58"/>
      <c r="O884" s="49"/>
    </row>
    <row r="885" ht="15.75" customHeight="1">
      <c r="A885" s="58"/>
      <c r="C885" s="49"/>
      <c r="D885" s="58"/>
      <c r="F885" s="49"/>
      <c r="G885" s="58"/>
      <c r="I885" s="49"/>
      <c r="J885" s="58"/>
      <c r="L885" s="49"/>
      <c r="M885" s="58"/>
      <c r="O885" s="49"/>
    </row>
    <row r="886" ht="15.75" customHeight="1">
      <c r="A886" s="58"/>
      <c r="C886" s="49"/>
      <c r="D886" s="58"/>
      <c r="F886" s="49"/>
      <c r="G886" s="58"/>
      <c r="I886" s="49"/>
      <c r="J886" s="58"/>
      <c r="L886" s="49"/>
      <c r="M886" s="58"/>
      <c r="O886" s="49"/>
    </row>
    <row r="887" ht="15.75" customHeight="1">
      <c r="A887" s="58"/>
      <c r="C887" s="49"/>
      <c r="D887" s="58"/>
      <c r="F887" s="49"/>
      <c r="G887" s="58"/>
      <c r="I887" s="49"/>
      <c r="J887" s="58"/>
      <c r="L887" s="49"/>
      <c r="M887" s="58"/>
      <c r="O887" s="49"/>
    </row>
    <row r="888" ht="15.75" customHeight="1">
      <c r="A888" s="58"/>
      <c r="C888" s="49"/>
      <c r="D888" s="58"/>
      <c r="F888" s="49"/>
      <c r="G888" s="58"/>
      <c r="I888" s="49"/>
      <c r="J888" s="58"/>
      <c r="L888" s="49"/>
      <c r="M888" s="58"/>
      <c r="O888" s="49"/>
    </row>
    <row r="889" ht="15.75" customHeight="1">
      <c r="A889" s="58"/>
      <c r="C889" s="49"/>
      <c r="D889" s="58"/>
      <c r="F889" s="49"/>
      <c r="G889" s="58"/>
      <c r="I889" s="49"/>
      <c r="J889" s="58"/>
      <c r="L889" s="49"/>
      <c r="M889" s="58"/>
      <c r="O889" s="49"/>
    </row>
    <row r="890" ht="15.75" customHeight="1">
      <c r="A890" s="58"/>
      <c r="C890" s="49"/>
      <c r="D890" s="58"/>
      <c r="F890" s="49"/>
      <c r="G890" s="58"/>
      <c r="I890" s="49"/>
      <c r="J890" s="58"/>
      <c r="L890" s="49"/>
      <c r="M890" s="58"/>
      <c r="O890" s="49"/>
    </row>
    <row r="891" ht="15.75" customHeight="1">
      <c r="A891" s="58"/>
      <c r="C891" s="49"/>
      <c r="D891" s="58"/>
      <c r="F891" s="49"/>
      <c r="G891" s="58"/>
      <c r="I891" s="49"/>
      <c r="J891" s="58"/>
      <c r="L891" s="49"/>
      <c r="M891" s="58"/>
      <c r="O891" s="49"/>
    </row>
    <row r="892" ht="15.75" customHeight="1">
      <c r="A892" s="58"/>
      <c r="C892" s="49"/>
      <c r="D892" s="58"/>
      <c r="F892" s="49"/>
      <c r="G892" s="58"/>
      <c r="I892" s="49"/>
      <c r="J892" s="58"/>
      <c r="L892" s="49"/>
      <c r="M892" s="58"/>
      <c r="O892" s="49"/>
    </row>
    <row r="893" ht="15.75" customHeight="1">
      <c r="A893" s="58"/>
      <c r="C893" s="49"/>
      <c r="D893" s="58"/>
      <c r="F893" s="49"/>
      <c r="G893" s="58"/>
      <c r="I893" s="49"/>
      <c r="J893" s="58"/>
      <c r="L893" s="49"/>
      <c r="M893" s="58"/>
      <c r="O893" s="49"/>
    </row>
    <row r="894" ht="15.75" customHeight="1">
      <c r="A894" s="58"/>
      <c r="C894" s="49"/>
      <c r="D894" s="58"/>
      <c r="F894" s="49"/>
      <c r="G894" s="58"/>
      <c r="I894" s="49"/>
      <c r="J894" s="58"/>
      <c r="L894" s="49"/>
      <c r="M894" s="58"/>
      <c r="O894" s="49"/>
    </row>
    <row r="895" ht="15.75" customHeight="1">
      <c r="A895" s="58"/>
      <c r="C895" s="49"/>
      <c r="D895" s="58"/>
      <c r="F895" s="49"/>
      <c r="G895" s="58"/>
      <c r="I895" s="49"/>
      <c r="J895" s="58"/>
      <c r="L895" s="49"/>
      <c r="M895" s="58"/>
      <c r="O895" s="49"/>
    </row>
    <row r="896" ht="15.75" customHeight="1">
      <c r="A896" s="58"/>
      <c r="C896" s="49"/>
      <c r="D896" s="58"/>
      <c r="F896" s="49"/>
      <c r="G896" s="58"/>
      <c r="I896" s="49"/>
      <c r="J896" s="58"/>
      <c r="L896" s="49"/>
      <c r="M896" s="58"/>
      <c r="O896" s="49"/>
    </row>
    <row r="897" ht="15.75" customHeight="1">
      <c r="A897" s="58"/>
      <c r="C897" s="49"/>
      <c r="D897" s="58"/>
      <c r="F897" s="49"/>
      <c r="G897" s="58"/>
      <c r="I897" s="49"/>
      <c r="J897" s="58"/>
      <c r="L897" s="49"/>
      <c r="M897" s="58"/>
      <c r="O897" s="49"/>
    </row>
    <row r="898" ht="15.75" customHeight="1">
      <c r="A898" s="58"/>
      <c r="C898" s="49"/>
      <c r="D898" s="58"/>
      <c r="F898" s="49"/>
      <c r="G898" s="58"/>
      <c r="I898" s="49"/>
      <c r="J898" s="58"/>
      <c r="L898" s="49"/>
      <c r="M898" s="58"/>
      <c r="O898" s="49"/>
    </row>
    <row r="899" ht="15.75" customHeight="1">
      <c r="A899" s="58"/>
      <c r="C899" s="49"/>
      <c r="D899" s="58"/>
      <c r="F899" s="49"/>
      <c r="G899" s="58"/>
      <c r="I899" s="49"/>
      <c r="J899" s="58"/>
      <c r="L899" s="49"/>
      <c r="M899" s="58"/>
      <c r="O899" s="49"/>
    </row>
    <row r="900" ht="15.75" customHeight="1">
      <c r="A900" s="58"/>
      <c r="C900" s="49"/>
      <c r="D900" s="58"/>
      <c r="F900" s="49"/>
      <c r="G900" s="58"/>
      <c r="I900" s="49"/>
      <c r="J900" s="58"/>
      <c r="L900" s="49"/>
      <c r="M900" s="58"/>
      <c r="O900" s="49"/>
    </row>
    <row r="901" ht="15.75" customHeight="1">
      <c r="A901" s="58"/>
      <c r="C901" s="49"/>
      <c r="D901" s="58"/>
      <c r="F901" s="49"/>
      <c r="G901" s="58"/>
      <c r="I901" s="49"/>
      <c r="J901" s="58"/>
      <c r="L901" s="49"/>
      <c r="M901" s="58"/>
      <c r="O901" s="49"/>
    </row>
    <row r="902" ht="15.75" customHeight="1">
      <c r="A902" s="58"/>
      <c r="C902" s="49"/>
      <c r="D902" s="58"/>
      <c r="F902" s="49"/>
      <c r="G902" s="58"/>
      <c r="I902" s="49"/>
      <c r="J902" s="58"/>
      <c r="L902" s="49"/>
      <c r="M902" s="58"/>
      <c r="O902" s="49"/>
    </row>
    <row r="903" ht="15.75" customHeight="1">
      <c r="A903" s="58"/>
      <c r="C903" s="49"/>
      <c r="D903" s="58"/>
      <c r="F903" s="49"/>
      <c r="G903" s="58"/>
      <c r="I903" s="49"/>
      <c r="J903" s="58"/>
      <c r="L903" s="49"/>
      <c r="M903" s="58"/>
      <c r="O903" s="49"/>
    </row>
    <row r="904" ht="15.75" customHeight="1">
      <c r="A904" s="58"/>
      <c r="C904" s="49"/>
      <c r="D904" s="58"/>
      <c r="F904" s="49"/>
      <c r="G904" s="58"/>
      <c r="I904" s="49"/>
      <c r="J904" s="58"/>
      <c r="L904" s="49"/>
      <c r="M904" s="58"/>
      <c r="O904" s="49"/>
    </row>
    <row r="905" ht="15.75" customHeight="1">
      <c r="A905" s="58"/>
      <c r="C905" s="49"/>
      <c r="D905" s="58"/>
      <c r="F905" s="49"/>
      <c r="G905" s="58"/>
      <c r="I905" s="49"/>
      <c r="J905" s="58"/>
      <c r="L905" s="49"/>
      <c r="M905" s="58"/>
      <c r="O905" s="49"/>
    </row>
    <row r="906" ht="15.75" customHeight="1">
      <c r="A906" s="58"/>
      <c r="C906" s="49"/>
      <c r="D906" s="58"/>
      <c r="F906" s="49"/>
      <c r="G906" s="58"/>
      <c r="I906" s="49"/>
      <c r="J906" s="58"/>
      <c r="L906" s="49"/>
      <c r="M906" s="58"/>
      <c r="O906" s="49"/>
    </row>
    <row r="907" ht="15.75" customHeight="1">
      <c r="A907" s="58"/>
      <c r="C907" s="49"/>
      <c r="D907" s="58"/>
      <c r="F907" s="49"/>
      <c r="G907" s="58"/>
      <c r="I907" s="49"/>
      <c r="J907" s="58"/>
      <c r="L907" s="49"/>
      <c r="M907" s="58"/>
      <c r="O907" s="49"/>
    </row>
    <row r="908" ht="15.75" customHeight="1">
      <c r="A908" s="58"/>
      <c r="C908" s="49"/>
      <c r="D908" s="58"/>
      <c r="F908" s="49"/>
      <c r="G908" s="58"/>
      <c r="I908" s="49"/>
      <c r="J908" s="58"/>
      <c r="L908" s="49"/>
      <c r="M908" s="58"/>
      <c r="O908" s="49"/>
    </row>
    <row r="909" ht="15.75" customHeight="1">
      <c r="A909" s="58"/>
      <c r="C909" s="49"/>
      <c r="D909" s="58"/>
      <c r="F909" s="49"/>
      <c r="G909" s="58"/>
      <c r="I909" s="49"/>
      <c r="J909" s="58"/>
      <c r="L909" s="49"/>
      <c r="M909" s="58"/>
      <c r="O909" s="49"/>
    </row>
    <row r="910" ht="15.75" customHeight="1">
      <c r="A910" s="58"/>
      <c r="C910" s="49"/>
      <c r="D910" s="58"/>
      <c r="F910" s="49"/>
      <c r="G910" s="58"/>
      <c r="I910" s="49"/>
      <c r="J910" s="58"/>
      <c r="L910" s="49"/>
      <c r="M910" s="58"/>
      <c r="O910" s="49"/>
    </row>
    <row r="911" ht="15.75" customHeight="1">
      <c r="A911" s="58"/>
      <c r="C911" s="49"/>
      <c r="D911" s="58"/>
      <c r="F911" s="49"/>
      <c r="G911" s="58"/>
      <c r="I911" s="49"/>
      <c r="J911" s="58"/>
      <c r="L911" s="49"/>
      <c r="M911" s="58"/>
      <c r="O911" s="49"/>
    </row>
    <row r="912" ht="15.75" customHeight="1">
      <c r="A912" s="58"/>
      <c r="C912" s="49"/>
      <c r="D912" s="58"/>
      <c r="F912" s="49"/>
      <c r="G912" s="58"/>
      <c r="I912" s="49"/>
      <c r="J912" s="58"/>
      <c r="L912" s="49"/>
      <c r="M912" s="58"/>
      <c r="O912" s="49"/>
    </row>
    <row r="913" ht="15.75" customHeight="1">
      <c r="A913" s="58"/>
      <c r="C913" s="49"/>
      <c r="D913" s="58"/>
      <c r="F913" s="49"/>
      <c r="G913" s="58"/>
      <c r="I913" s="49"/>
      <c r="J913" s="58"/>
      <c r="L913" s="49"/>
      <c r="M913" s="58"/>
      <c r="O913" s="49"/>
    </row>
    <row r="914" ht="15.75" customHeight="1">
      <c r="A914" s="58"/>
      <c r="C914" s="49"/>
      <c r="D914" s="58"/>
      <c r="F914" s="49"/>
      <c r="G914" s="58"/>
      <c r="I914" s="49"/>
      <c r="J914" s="58"/>
      <c r="L914" s="49"/>
      <c r="M914" s="58"/>
      <c r="O914" s="49"/>
    </row>
    <row r="915" ht="15.75" customHeight="1">
      <c r="A915" s="58"/>
      <c r="C915" s="49"/>
      <c r="D915" s="58"/>
      <c r="F915" s="49"/>
      <c r="G915" s="58"/>
      <c r="I915" s="49"/>
      <c r="J915" s="58"/>
      <c r="L915" s="49"/>
      <c r="M915" s="58"/>
      <c r="O915" s="49"/>
    </row>
    <row r="916" ht="15.75" customHeight="1">
      <c r="A916" s="58"/>
      <c r="C916" s="49"/>
      <c r="D916" s="58"/>
      <c r="F916" s="49"/>
      <c r="G916" s="58"/>
      <c r="I916" s="49"/>
      <c r="J916" s="58"/>
      <c r="L916" s="49"/>
      <c r="M916" s="58"/>
      <c r="O916" s="49"/>
    </row>
    <row r="917" ht="15.75" customHeight="1">
      <c r="A917" s="58"/>
      <c r="C917" s="49"/>
      <c r="D917" s="58"/>
      <c r="F917" s="49"/>
      <c r="G917" s="58"/>
      <c r="I917" s="49"/>
      <c r="J917" s="58"/>
      <c r="L917" s="49"/>
      <c r="M917" s="58"/>
      <c r="O917" s="49"/>
    </row>
    <row r="918" ht="15.75" customHeight="1">
      <c r="A918" s="58"/>
      <c r="C918" s="49"/>
      <c r="D918" s="58"/>
      <c r="F918" s="49"/>
      <c r="G918" s="58"/>
      <c r="I918" s="49"/>
      <c r="J918" s="58"/>
      <c r="L918" s="49"/>
      <c r="M918" s="58"/>
      <c r="O918" s="49"/>
    </row>
    <row r="919" ht="15.75" customHeight="1">
      <c r="A919" s="58"/>
      <c r="C919" s="49"/>
      <c r="D919" s="58"/>
      <c r="F919" s="49"/>
      <c r="G919" s="58"/>
      <c r="I919" s="49"/>
      <c r="J919" s="58"/>
      <c r="L919" s="49"/>
      <c r="M919" s="58"/>
      <c r="O919" s="49"/>
    </row>
    <row r="920" ht="15.75" customHeight="1">
      <c r="A920" s="58"/>
      <c r="C920" s="49"/>
      <c r="D920" s="58"/>
      <c r="F920" s="49"/>
      <c r="G920" s="58"/>
      <c r="I920" s="49"/>
      <c r="J920" s="58"/>
      <c r="L920" s="49"/>
      <c r="M920" s="58"/>
      <c r="O920" s="49"/>
    </row>
    <row r="921" ht="15.75" customHeight="1">
      <c r="A921" s="58"/>
      <c r="C921" s="49"/>
      <c r="D921" s="58"/>
      <c r="F921" s="49"/>
      <c r="G921" s="58"/>
      <c r="I921" s="49"/>
      <c r="J921" s="58"/>
      <c r="L921" s="49"/>
      <c r="M921" s="58"/>
      <c r="O921" s="49"/>
    </row>
    <row r="922" ht="15.75" customHeight="1">
      <c r="A922" s="58"/>
      <c r="C922" s="49"/>
      <c r="D922" s="58"/>
      <c r="F922" s="49"/>
      <c r="G922" s="58"/>
      <c r="I922" s="49"/>
      <c r="J922" s="58"/>
      <c r="L922" s="49"/>
      <c r="M922" s="58"/>
      <c r="O922" s="49"/>
    </row>
    <row r="923" ht="15.75" customHeight="1">
      <c r="A923" s="58"/>
      <c r="C923" s="49"/>
      <c r="D923" s="58"/>
      <c r="F923" s="49"/>
      <c r="G923" s="58"/>
      <c r="I923" s="49"/>
      <c r="J923" s="58"/>
      <c r="L923" s="49"/>
      <c r="M923" s="58"/>
      <c r="O923" s="49"/>
    </row>
    <row r="924" ht="15.75" customHeight="1">
      <c r="A924" s="58"/>
      <c r="C924" s="49"/>
      <c r="D924" s="58"/>
      <c r="F924" s="49"/>
      <c r="G924" s="58"/>
      <c r="I924" s="49"/>
      <c r="J924" s="58"/>
      <c r="L924" s="49"/>
      <c r="M924" s="58"/>
      <c r="O924" s="49"/>
    </row>
    <row r="925" ht="15.75" customHeight="1">
      <c r="A925" s="58"/>
      <c r="C925" s="49"/>
      <c r="D925" s="58"/>
      <c r="F925" s="49"/>
      <c r="G925" s="58"/>
      <c r="I925" s="49"/>
      <c r="J925" s="58"/>
      <c r="L925" s="49"/>
      <c r="M925" s="58"/>
      <c r="O925" s="49"/>
    </row>
    <row r="926" ht="15.75" customHeight="1">
      <c r="A926" s="58"/>
      <c r="C926" s="49"/>
      <c r="D926" s="58"/>
      <c r="F926" s="49"/>
      <c r="G926" s="58"/>
      <c r="I926" s="49"/>
      <c r="J926" s="58"/>
      <c r="L926" s="49"/>
      <c r="M926" s="58"/>
      <c r="O926" s="49"/>
    </row>
    <row r="927" ht="15.75" customHeight="1">
      <c r="A927" s="58"/>
      <c r="C927" s="49"/>
      <c r="D927" s="58"/>
      <c r="F927" s="49"/>
      <c r="G927" s="58"/>
      <c r="I927" s="49"/>
      <c r="J927" s="58"/>
      <c r="L927" s="49"/>
      <c r="M927" s="58"/>
      <c r="O927" s="49"/>
    </row>
    <row r="928" ht="15.75" customHeight="1">
      <c r="A928" s="58"/>
      <c r="C928" s="49"/>
      <c r="D928" s="58"/>
      <c r="F928" s="49"/>
      <c r="G928" s="58"/>
      <c r="I928" s="49"/>
      <c r="J928" s="58"/>
      <c r="L928" s="49"/>
      <c r="M928" s="58"/>
      <c r="O928" s="49"/>
    </row>
    <row r="929" ht="15.75" customHeight="1">
      <c r="A929" s="58"/>
      <c r="C929" s="49"/>
      <c r="D929" s="58"/>
      <c r="F929" s="49"/>
      <c r="G929" s="58"/>
      <c r="I929" s="49"/>
      <c r="J929" s="58"/>
      <c r="L929" s="49"/>
      <c r="M929" s="58"/>
      <c r="O929" s="49"/>
    </row>
    <row r="930" ht="15.75" customHeight="1">
      <c r="A930" s="58"/>
      <c r="C930" s="49"/>
      <c r="D930" s="58"/>
      <c r="F930" s="49"/>
      <c r="G930" s="58"/>
      <c r="I930" s="49"/>
      <c r="J930" s="58"/>
      <c r="L930" s="49"/>
      <c r="M930" s="58"/>
      <c r="O930" s="49"/>
    </row>
    <row r="931" ht="15.75" customHeight="1">
      <c r="A931" s="58"/>
      <c r="C931" s="49"/>
      <c r="D931" s="58"/>
      <c r="F931" s="49"/>
      <c r="G931" s="58"/>
      <c r="I931" s="49"/>
      <c r="J931" s="58"/>
      <c r="L931" s="49"/>
      <c r="M931" s="58"/>
      <c r="O931" s="49"/>
    </row>
    <row r="932" ht="15.75" customHeight="1">
      <c r="A932" s="58"/>
      <c r="C932" s="49"/>
      <c r="D932" s="58"/>
      <c r="F932" s="49"/>
      <c r="G932" s="58"/>
      <c r="I932" s="49"/>
      <c r="J932" s="58"/>
      <c r="L932" s="49"/>
      <c r="M932" s="58"/>
      <c r="O932" s="49"/>
    </row>
    <row r="933" ht="15.75" customHeight="1">
      <c r="A933" s="58"/>
      <c r="C933" s="49"/>
      <c r="D933" s="58"/>
      <c r="F933" s="49"/>
      <c r="G933" s="58"/>
      <c r="I933" s="49"/>
      <c r="J933" s="58"/>
      <c r="L933" s="49"/>
      <c r="M933" s="58"/>
      <c r="O933" s="49"/>
    </row>
    <row r="934" ht="15.75" customHeight="1">
      <c r="A934" s="58"/>
      <c r="C934" s="49"/>
      <c r="D934" s="58"/>
      <c r="F934" s="49"/>
      <c r="G934" s="58"/>
      <c r="I934" s="49"/>
      <c r="J934" s="58"/>
      <c r="L934" s="49"/>
      <c r="M934" s="58"/>
      <c r="O934" s="49"/>
    </row>
    <row r="935" ht="15.75" customHeight="1">
      <c r="A935" s="58"/>
      <c r="C935" s="49"/>
      <c r="D935" s="58"/>
      <c r="F935" s="49"/>
      <c r="G935" s="58"/>
      <c r="I935" s="49"/>
      <c r="J935" s="58"/>
      <c r="L935" s="49"/>
      <c r="M935" s="58"/>
      <c r="O935" s="49"/>
    </row>
    <row r="936" ht="15.75" customHeight="1">
      <c r="A936" s="58"/>
      <c r="C936" s="49"/>
      <c r="D936" s="58"/>
      <c r="F936" s="49"/>
      <c r="G936" s="58"/>
      <c r="I936" s="49"/>
      <c r="J936" s="58"/>
      <c r="L936" s="49"/>
      <c r="M936" s="58"/>
      <c r="O936" s="49"/>
    </row>
    <row r="937" ht="15.75" customHeight="1">
      <c r="A937" s="58"/>
      <c r="C937" s="49"/>
      <c r="D937" s="58"/>
      <c r="F937" s="49"/>
      <c r="G937" s="58"/>
      <c r="I937" s="49"/>
      <c r="J937" s="58"/>
      <c r="L937" s="49"/>
      <c r="M937" s="58"/>
      <c r="O937" s="49"/>
    </row>
    <row r="938" ht="15.75" customHeight="1">
      <c r="A938" s="58"/>
      <c r="C938" s="49"/>
      <c r="D938" s="58"/>
      <c r="F938" s="49"/>
      <c r="G938" s="58"/>
      <c r="I938" s="49"/>
      <c r="J938" s="58"/>
      <c r="L938" s="49"/>
      <c r="M938" s="58"/>
      <c r="O938" s="49"/>
    </row>
    <row r="939" ht="15.75" customHeight="1">
      <c r="A939" s="58"/>
      <c r="C939" s="49"/>
      <c r="D939" s="58"/>
      <c r="F939" s="49"/>
      <c r="G939" s="58"/>
      <c r="I939" s="49"/>
      <c r="J939" s="58"/>
      <c r="L939" s="49"/>
      <c r="M939" s="58"/>
      <c r="O939" s="49"/>
    </row>
    <row r="940" ht="15.75" customHeight="1">
      <c r="A940" s="58"/>
      <c r="C940" s="49"/>
      <c r="D940" s="58"/>
      <c r="F940" s="49"/>
      <c r="G940" s="58"/>
      <c r="I940" s="49"/>
      <c r="J940" s="58"/>
      <c r="L940" s="49"/>
      <c r="M940" s="58"/>
      <c r="O940" s="49"/>
    </row>
    <row r="941" ht="15.75" customHeight="1">
      <c r="A941" s="58"/>
      <c r="C941" s="49"/>
      <c r="D941" s="58"/>
      <c r="F941" s="49"/>
      <c r="G941" s="58"/>
      <c r="I941" s="49"/>
      <c r="J941" s="58"/>
      <c r="L941" s="49"/>
      <c r="M941" s="58"/>
      <c r="O941" s="49"/>
    </row>
    <row r="942" ht="15.75" customHeight="1">
      <c r="A942" s="58"/>
      <c r="C942" s="49"/>
      <c r="D942" s="58"/>
      <c r="F942" s="49"/>
      <c r="G942" s="58"/>
      <c r="I942" s="49"/>
      <c r="J942" s="58"/>
      <c r="L942" s="49"/>
      <c r="M942" s="58"/>
      <c r="O942" s="49"/>
    </row>
    <row r="943" ht="15.75" customHeight="1">
      <c r="A943" s="58"/>
      <c r="C943" s="49"/>
      <c r="D943" s="58"/>
      <c r="F943" s="49"/>
      <c r="G943" s="58"/>
      <c r="I943" s="49"/>
      <c r="J943" s="58"/>
      <c r="L943" s="49"/>
      <c r="M943" s="58"/>
      <c r="O943" s="49"/>
    </row>
    <row r="944" ht="15.75" customHeight="1">
      <c r="A944" s="58"/>
      <c r="C944" s="49"/>
      <c r="D944" s="58"/>
      <c r="F944" s="49"/>
      <c r="G944" s="58"/>
      <c r="I944" s="49"/>
      <c r="J944" s="58"/>
      <c r="L944" s="49"/>
      <c r="M944" s="58"/>
      <c r="O944" s="49"/>
    </row>
    <row r="945" ht="15.75" customHeight="1">
      <c r="A945" s="58"/>
      <c r="C945" s="49"/>
      <c r="D945" s="58"/>
      <c r="F945" s="49"/>
      <c r="G945" s="58"/>
      <c r="I945" s="49"/>
      <c r="J945" s="58"/>
      <c r="L945" s="49"/>
      <c r="M945" s="58"/>
      <c r="O945" s="49"/>
    </row>
    <row r="946" ht="15.75" customHeight="1">
      <c r="A946" s="58"/>
      <c r="C946" s="49"/>
      <c r="D946" s="58"/>
      <c r="F946" s="49"/>
      <c r="G946" s="58"/>
      <c r="I946" s="49"/>
      <c r="J946" s="58"/>
      <c r="L946" s="49"/>
      <c r="M946" s="58"/>
      <c r="O946" s="49"/>
    </row>
    <row r="947" ht="15.75" customHeight="1">
      <c r="A947" s="58"/>
      <c r="C947" s="49"/>
      <c r="D947" s="58"/>
      <c r="F947" s="49"/>
      <c r="G947" s="58"/>
      <c r="I947" s="49"/>
      <c r="J947" s="58"/>
      <c r="L947" s="49"/>
      <c r="M947" s="58"/>
      <c r="O947" s="49"/>
    </row>
    <row r="948" ht="15.75" customHeight="1">
      <c r="A948" s="58"/>
      <c r="C948" s="49"/>
      <c r="D948" s="58"/>
      <c r="F948" s="49"/>
      <c r="G948" s="58"/>
      <c r="I948" s="49"/>
      <c r="J948" s="58"/>
      <c r="L948" s="49"/>
      <c r="M948" s="58"/>
      <c r="O948" s="49"/>
    </row>
    <row r="949" ht="15.75" customHeight="1">
      <c r="A949" s="58"/>
      <c r="C949" s="49"/>
      <c r="D949" s="58"/>
      <c r="F949" s="49"/>
      <c r="G949" s="58"/>
      <c r="I949" s="49"/>
      <c r="J949" s="58"/>
      <c r="L949" s="49"/>
      <c r="M949" s="58"/>
      <c r="O949" s="49"/>
    </row>
    <row r="950" ht="15.75" customHeight="1">
      <c r="A950" s="58"/>
      <c r="C950" s="49"/>
      <c r="D950" s="58"/>
      <c r="F950" s="49"/>
      <c r="G950" s="58"/>
      <c r="I950" s="49"/>
      <c r="J950" s="58"/>
      <c r="L950" s="49"/>
      <c r="M950" s="58"/>
      <c r="O950" s="49"/>
    </row>
    <row r="951" ht="15.75" customHeight="1">
      <c r="A951" s="58"/>
      <c r="C951" s="49"/>
      <c r="D951" s="58"/>
      <c r="F951" s="49"/>
      <c r="G951" s="58"/>
      <c r="I951" s="49"/>
      <c r="J951" s="58"/>
      <c r="L951" s="49"/>
      <c r="M951" s="58"/>
      <c r="O951" s="49"/>
    </row>
    <row r="952" ht="15.75" customHeight="1">
      <c r="A952" s="58"/>
      <c r="C952" s="49"/>
      <c r="D952" s="58"/>
      <c r="F952" s="49"/>
      <c r="G952" s="58"/>
      <c r="I952" s="49"/>
      <c r="J952" s="58"/>
      <c r="L952" s="49"/>
      <c r="M952" s="58"/>
      <c r="O952" s="49"/>
    </row>
    <row r="953" ht="15.75" customHeight="1">
      <c r="A953" s="58"/>
      <c r="C953" s="49"/>
      <c r="D953" s="58"/>
      <c r="F953" s="49"/>
      <c r="G953" s="58"/>
      <c r="I953" s="49"/>
      <c r="J953" s="58"/>
      <c r="L953" s="49"/>
      <c r="M953" s="58"/>
      <c r="O953" s="49"/>
    </row>
    <row r="954" ht="15.75" customHeight="1">
      <c r="A954" s="58"/>
      <c r="C954" s="49"/>
      <c r="D954" s="58"/>
      <c r="F954" s="49"/>
      <c r="G954" s="58"/>
      <c r="I954" s="49"/>
      <c r="J954" s="58"/>
      <c r="L954" s="49"/>
      <c r="M954" s="58"/>
      <c r="O954" s="49"/>
    </row>
    <row r="955" ht="15.75" customHeight="1">
      <c r="A955" s="58"/>
      <c r="C955" s="49"/>
      <c r="D955" s="58"/>
      <c r="F955" s="49"/>
      <c r="G955" s="58"/>
      <c r="I955" s="49"/>
      <c r="J955" s="58"/>
      <c r="L955" s="49"/>
      <c r="M955" s="58"/>
      <c r="O955" s="49"/>
    </row>
    <row r="956" ht="15.75" customHeight="1">
      <c r="A956" s="58"/>
      <c r="C956" s="49"/>
      <c r="D956" s="58"/>
      <c r="F956" s="49"/>
      <c r="G956" s="58"/>
      <c r="I956" s="49"/>
      <c r="J956" s="58"/>
      <c r="L956" s="49"/>
      <c r="M956" s="58"/>
      <c r="O956" s="49"/>
    </row>
    <row r="957" ht="15.75" customHeight="1">
      <c r="A957" s="58"/>
      <c r="C957" s="49"/>
      <c r="D957" s="58"/>
      <c r="F957" s="49"/>
      <c r="G957" s="58"/>
      <c r="I957" s="49"/>
      <c r="J957" s="58"/>
      <c r="L957" s="49"/>
      <c r="M957" s="58"/>
      <c r="O957" s="49"/>
    </row>
    <row r="958" ht="15.75" customHeight="1">
      <c r="A958" s="58"/>
      <c r="C958" s="49"/>
      <c r="D958" s="58"/>
      <c r="F958" s="49"/>
      <c r="G958" s="58"/>
      <c r="I958" s="49"/>
      <c r="J958" s="58"/>
      <c r="L958" s="49"/>
      <c r="M958" s="58"/>
      <c r="O958" s="49"/>
    </row>
    <row r="959" ht="15.75" customHeight="1">
      <c r="A959" s="58"/>
      <c r="C959" s="49"/>
      <c r="D959" s="58"/>
      <c r="F959" s="49"/>
      <c r="G959" s="58"/>
      <c r="I959" s="49"/>
      <c r="J959" s="58"/>
      <c r="L959" s="49"/>
      <c r="M959" s="58"/>
      <c r="O959" s="49"/>
    </row>
    <row r="960" ht="15.75" customHeight="1">
      <c r="A960" s="58"/>
      <c r="C960" s="49"/>
      <c r="D960" s="58"/>
      <c r="F960" s="49"/>
      <c r="G960" s="58"/>
      <c r="I960" s="49"/>
      <c r="J960" s="58"/>
      <c r="L960" s="49"/>
      <c r="M960" s="58"/>
      <c r="O960" s="49"/>
    </row>
    <row r="961" ht="15.75" customHeight="1">
      <c r="A961" s="58"/>
      <c r="C961" s="49"/>
      <c r="D961" s="58"/>
      <c r="F961" s="49"/>
      <c r="G961" s="58"/>
      <c r="I961" s="49"/>
      <c r="J961" s="58"/>
      <c r="L961" s="49"/>
      <c r="M961" s="58"/>
      <c r="O961" s="49"/>
    </row>
    <row r="962" ht="15.75" customHeight="1">
      <c r="A962" s="58"/>
      <c r="C962" s="49"/>
      <c r="D962" s="58"/>
      <c r="F962" s="49"/>
      <c r="G962" s="58"/>
      <c r="I962" s="49"/>
      <c r="J962" s="58"/>
      <c r="L962" s="49"/>
      <c r="M962" s="58"/>
      <c r="O962" s="49"/>
    </row>
    <row r="963" ht="15.75" customHeight="1">
      <c r="A963" s="58"/>
      <c r="C963" s="49"/>
      <c r="D963" s="58"/>
      <c r="F963" s="49"/>
      <c r="G963" s="58"/>
      <c r="I963" s="49"/>
      <c r="J963" s="58"/>
      <c r="L963" s="49"/>
      <c r="M963" s="58"/>
      <c r="O963" s="49"/>
    </row>
    <row r="964" ht="15.75" customHeight="1">
      <c r="A964" s="58"/>
      <c r="C964" s="49"/>
      <c r="D964" s="58"/>
      <c r="F964" s="49"/>
      <c r="G964" s="58"/>
      <c r="I964" s="49"/>
      <c r="J964" s="58"/>
      <c r="L964" s="49"/>
      <c r="M964" s="58"/>
      <c r="O964" s="49"/>
    </row>
    <row r="965" ht="15.75" customHeight="1">
      <c r="A965" s="58"/>
      <c r="C965" s="49"/>
      <c r="D965" s="58"/>
      <c r="F965" s="49"/>
      <c r="G965" s="58"/>
      <c r="I965" s="49"/>
      <c r="J965" s="58"/>
      <c r="L965" s="49"/>
      <c r="M965" s="58"/>
      <c r="O965" s="49"/>
    </row>
    <row r="966" ht="15.75" customHeight="1">
      <c r="A966" s="58"/>
      <c r="C966" s="49"/>
      <c r="D966" s="58"/>
      <c r="F966" s="49"/>
      <c r="G966" s="58"/>
      <c r="I966" s="49"/>
      <c r="J966" s="58"/>
      <c r="L966" s="49"/>
      <c r="M966" s="58"/>
      <c r="O966" s="49"/>
    </row>
    <row r="967" ht="15.75" customHeight="1">
      <c r="A967" s="58"/>
      <c r="C967" s="49"/>
      <c r="D967" s="58"/>
      <c r="F967" s="49"/>
      <c r="G967" s="58"/>
      <c r="I967" s="49"/>
      <c r="J967" s="58"/>
      <c r="L967" s="49"/>
      <c r="M967" s="58"/>
      <c r="O967" s="49"/>
    </row>
    <row r="968" ht="15.75" customHeight="1">
      <c r="A968" s="58"/>
      <c r="C968" s="49"/>
      <c r="D968" s="58"/>
      <c r="F968" s="49"/>
      <c r="G968" s="58"/>
      <c r="I968" s="49"/>
      <c r="J968" s="58"/>
      <c r="L968" s="49"/>
      <c r="M968" s="58"/>
      <c r="O968" s="49"/>
    </row>
    <row r="969" ht="15.75" customHeight="1">
      <c r="A969" s="58"/>
      <c r="C969" s="49"/>
      <c r="D969" s="58"/>
      <c r="F969" s="49"/>
      <c r="G969" s="58"/>
      <c r="I969" s="49"/>
      <c r="J969" s="58"/>
      <c r="L969" s="49"/>
      <c r="M969" s="58"/>
      <c r="O969" s="49"/>
    </row>
    <row r="970" ht="15.75" customHeight="1">
      <c r="A970" s="58"/>
      <c r="C970" s="49"/>
      <c r="D970" s="58"/>
      <c r="F970" s="49"/>
      <c r="G970" s="58"/>
      <c r="I970" s="49"/>
      <c r="J970" s="58"/>
      <c r="L970" s="49"/>
      <c r="M970" s="58"/>
      <c r="O970" s="49"/>
    </row>
    <row r="971" ht="15.75" customHeight="1">
      <c r="A971" s="58"/>
      <c r="C971" s="49"/>
      <c r="D971" s="58"/>
      <c r="F971" s="49"/>
      <c r="G971" s="58"/>
      <c r="I971" s="49"/>
      <c r="J971" s="58"/>
      <c r="L971" s="49"/>
      <c r="M971" s="58"/>
      <c r="O971" s="49"/>
    </row>
    <row r="972" ht="15.75" customHeight="1">
      <c r="A972" s="58"/>
      <c r="C972" s="49"/>
      <c r="D972" s="58"/>
      <c r="F972" s="49"/>
      <c r="G972" s="58"/>
      <c r="I972" s="49"/>
      <c r="J972" s="58"/>
      <c r="L972" s="49"/>
      <c r="M972" s="58"/>
      <c r="O972" s="49"/>
    </row>
    <row r="973" ht="15.75" customHeight="1">
      <c r="A973" s="58"/>
      <c r="C973" s="49"/>
      <c r="D973" s="58"/>
      <c r="F973" s="49"/>
      <c r="G973" s="58"/>
      <c r="I973" s="49"/>
      <c r="J973" s="58"/>
      <c r="L973" s="49"/>
      <c r="M973" s="58"/>
      <c r="O973" s="49"/>
    </row>
    <row r="974" ht="15.75" customHeight="1">
      <c r="A974" s="58"/>
      <c r="C974" s="49"/>
      <c r="D974" s="58"/>
      <c r="F974" s="49"/>
      <c r="G974" s="58"/>
      <c r="I974" s="49"/>
      <c r="J974" s="58"/>
      <c r="L974" s="49"/>
      <c r="M974" s="58"/>
      <c r="O974" s="49"/>
    </row>
    <row r="975" ht="15.75" customHeight="1">
      <c r="A975" s="58"/>
      <c r="C975" s="49"/>
      <c r="D975" s="58"/>
      <c r="F975" s="49"/>
      <c r="G975" s="58"/>
      <c r="I975" s="49"/>
      <c r="J975" s="58"/>
      <c r="L975" s="49"/>
      <c r="M975" s="58"/>
      <c r="O975" s="49"/>
    </row>
    <row r="976" ht="15.75" customHeight="1">
      <c r="A976" s="58"/>
      <c r="C976" s="49"/>
      <c r="D976" s="58"/>
      <c r="F976" s="49"/>
      <c r="G976" s="58"/>
      <c r="I976" s="49"/>
      <c r="J976" s="58"/>
      <c r="L976" s="49"/>
      <c r="M976" s="58"/>
      <c r="O976" s="49"/>
    </row>
    <row r="977" ht="15.75" customHeight="1">
      <c r="A977" s="58"/>
      <c r="C977" s="49"/>
      <c r="D977" s="58"/>
      <c r="F977" s="49"/>
      <c r="G977" s="58"/>
      <c r="I977" s="49"/>
      <c r="J977" s="58"/>
      <c r="L977" s="49"/>
      <c r="M977" s="58"/>
      <c r="O977" s="49"/>
    </row>
    <row r="978" ht="15.75" customHeight="1">
      <c r="A978" s="58"/>
      <c r="C978" s="49"/>
      <c r="D978" s="58"/>
      <c r="F978" s="49"/>
      <c r="G978" s="58"/>
      <c r="I978" s="49"/>
      <c r="J978" s="58"/>
      <c r="L978" s="49"/>
      <c r="M978" s="58"/>
      <c r="O978" s="49"/>
    </row>
    <row r="979" ht="15.75" customHeight="1">
      <c r="A979" s="58"/>
      <c r="C979" s="49"/>
      <c r="D979" s="58"/>
      <c r="F979" s="49"/>
      <c r="G979" s="58"/>
      <c r="I979" s="49"/>
      <c r="J979" s="58"/>
      <c r="L979" s="49"/>
      <c r="M979" s="58"/>
      <c r="O979" s="49"/>
    </row>
    <row r="980" ht="15.75" customHeight="1">
      <c r="A980" s="58"/>
      <c r="C980" s="49"/>
      <c r="D980" s="58"/>
      <c r="F980" s="49"/>
      <c r="G980" s="58"/>
      <c r="I980" s="49"/>
      <c r="J980" s="58"/>
      <c r="L980" s="49"/>
      <c r="M980" s="58"/>
      <c r="O980" s="49"/>
    </row>
    <row r="981" ht="15.75" customHeight="1">
      <c r="A981" s="58"/>
      <c r="C981" s="49"/>
      <c r="D981" s="58"/>
      <c r="F981" s="49"/>
      <c r="G981" s="58"/>
      <c r="I981" s="49"/>
      <c r="J981" s="58"/>
      <c r="L981" s="49"/>
      <c r="M981" s="58"/>
      <c r="O981" s="49"/>
    </row>
    <row r="982" ht="15.75" customHeight="1">
      <c r="A982" s="58"/>
      <c r="C982" s="49"/>
      <c r="D982" s="58"/>
      <c r="F982" s="49"/>
      <c r="G982" s="58"/>
      <c r="I982" s="49"/>
      <c r="J982" s="58"/>
      <c r="L982" s="49"/>
      <c r="M982" s="58"/>
      <c r="O982" s="49"/>
    </row>
    <row r="983" ht="15.75" customHeight="1">
      <c r="A983" s="58"/>
      <c r="C983" s="49"/>
      <c r="D983" s="58"/>
      <c r="F983" s="49"/>
      <c r="G983" s="58"/>
      <c r="I983" s="49"/>
      <c r="J983" s="58"/>
      <c r="L983" s="49"/>
      <c r="M983" s="58"/>
      <c r="O983" s="49"/>
    </row>
    <row r="984" ht="15.75" customHeight="1">
      <c r="A984" s="58"/>
      <c r="C984" s="49"/>
      <c r="D984" s="58"/>
      <c r="F984" s="49"/>
      <c r="G984" s="58"/>
      <c r="I984" s="49"/>
      <c r="J984" s="58"/>
      <c r="L984" s="49"/>
      <c r="M984" s="58"/>
      <c r="O984" s="49"/>
    </row>
    <row r="985" ht="15.75" customHeight="1">
      <c r="A985" s="58"/>
      <c r="C985" s="49"/>
      <c r="D985" s="58"/>
      <c r="F985" s="49"/>
      <c r="G985" s="58"/>
      <c r="I985" s="49"/>
      <c r="J985" s="58"/>
      <c r="L985" s="49"/>
      <c r="M985" s="58"/>
      <c r="O985" s="49"/>
    </row>
    <row r="986" ht="15.75" customHeight="1">
      <c r="A986" s="58"/>
      <c r="C986" s="49"/>
      <c r="D986" s="58"/>
      <c r="F986" s="49"/>
      <c r="G986" s="58"/>
      <c r="I986" s="49"/>
      <c r="J986" s="58"/>
      <c r="L986" s="49"/>
      <c r="M986" s="58"/>
      <c r="O986" s="49"/>
    </row>
    <row r="987" ht="15.75" customHeight="1">
      <c r="A987" s="58"/>
      <c r="C987" s="49"/>
      <c r="D987" s="58"/>
      <c r="F987" s="49"/>
      <c r="G987" s="58"/>
      <c r="I987" s="49"/>
      <c r="J987" s="58"/>
      <c r="L987" s="49"/>
      <c r="M987" s="58"/>
      <c r="O987" s="49"/>
    </row>
    <row r="988" ht="15.75" customHeight="1">
      <c r="A988" s="58"/>
      <c r="C988" s="49"/>
      <c r="D988" s="58"/>
      <c r="F988" s="49"/>
      <c r="G988" s="58"/>
      <c r="I988" s="49"/>
      <c r="J988" s="58"/>
      <c r="L988" s="49"/>
      <c r="M988" s="58"/>
      <c r="O988" s="49"/>
    </row>
    <row r="989" ht="15.75" customHeight="1">
      <c r="A989" s="58"/>
      <c r="C989" s="49"/>
      <c r="D989" s="58"/>
      <c r="F989" s="49"/>
      <c r="G989" s="58"/>
      <c r="I989" s="49"/>
      <c r="J989" s="58"/>
      <c r="L989" s="49"/>
      <c r="M989" s="58"/>
      <c r="O989" s="49"/>
    </row>
    <row r="990" ht="15.75" customHeight="1">
      <c r="A990" s="58"/>
      <c r="C990" s="49"/>
      <c r="D990" s="58"/>
      <c r="F990" s="49"/>
      <c r="G990" s="58"/>
      <c r="I990" s="49"/>
      <c r="J990" s="58"/>
      <c r="L990" s="49"/>
      <c r="M990" s="58"/>
      <c r="O990" s="49"/>
    </row>
    <row r="991" ht="15.75" customHeight="1">
      <c r="A991" s="58"/>
      <c r="C991" s="49"/>
      <c r="D991" s="58"/>
      <c r="F991" s="49"/>
      <c r="G991" s="58"/>
      <c r="I991" s="49"/>
      <c r="J991" s="58"/>
      <c r="L991" s="49"/>
      <c r="M991" s="58"/>
      <c r="O991" s="49"/>
    </row>
    <row r="992" ht="15.75" customHeight="1">
      <c r="A992" s="58"/>
      <c r="C992" s="49"/>
      <c r="D992" s="58"/>
      <c r="F992" s="49"/>
      <c r="G992" s="58"/>
      <c r="I992" s="49"/>
      <c r="J992" s="58"/>
      <c r="L992" s="49"/>
      <c r="M992" s="58"/>
      <c r="O992" s="49"/>
    </row>
    <row r="993" ht="15.75" customHeight="1">
      <c r="A993" s="58"/>
      <c r="C993" s="49"/>
      <c r="D993" s="58"/>
      <c r="F993" s="49"/>
      <c r="G993" s="58"/>
      <c r="I993" s="49"/>
      <c r="J993" s="58"/>
      <c r="L993" s="49"/>
      <c r="M993" s="58"/>
      <c r="O993" s="49"/>
    </row>
    <row r="994" ht="15.75" customHeight="1">
      <c r="A994" s="58"/>
      <c r="C994" s="49"/>
      <c r="D994" s="58"/>
      <c r="F994" s="49"/>
      <c r="G994" s="58"/>
      <c r="I994" s="49"/>
      <c r="J994" s="58"/>
      <c r="L994" s="49"/>
      <c r="M994" s="58"/>
      <c r="O994" s="49"/>
    </row>
    <row r="995" ht="15.75" customHeight="1">
      <c r="A995" s="58"/>
      <c r="C995" s="49"/>
      <c r="D995" s="58"/>
      <c r="F995" s="49"/>
      <c r="G995" s="58"/>
      <c r="I995" s="49"/>
      <c r="J995" s="58"/>
      <c r="L995" s="49"/>
      <c r="M995" s="58"/>
      <c r="O995" s="49"/>
    </row>
    <row r="996" ht="15.75" customHeight="1">
      <c r="A996" s="58"/>
      <c r="C996" s="49"/>
      <c r="D996" s="58"/>
      <c r="F996" s="49"/>
      <c r="G996" s="58"/>
      <c r="I996" s="49"/>
      <c r="J996" s="58"/>
      <c r="L996" s="49"/>
      <c r="M996" s="58"/>
      <c r="O996" s="49"/>
    </row>
    <row r="997" ht="15.75" customHeight="1">
      <c r="A997" s="58"/>
      <c r="C997" s="49"/>
      <c r="D997" s="58"/>
      <c r="F997" s="49"/>
      <c r="G997" s="58"/>
      <c r="I997" s="49"/>
      <c r="J997" s="58"/>
      <c r="L997" s="49"/>
      <c r="M997" s="58"/>
      <c r="O997" s="49"/>
    </row>
    <row r="998" ht="15.75" customHeight="1">
      <c r="A998" s="58"/>
      <c r="C998" s="49"/>
      <c r="D998" s="58"/>
      <c r="F998" s="49"/>
      <c r="G998" s="58"/>
      <c r="I998" s="49"/>
      <c r="J998" s="58"/>
      <c r="L998" s="49"/>
      <c r="M998" s="58"/>
      <c r="O998" s="49"/>
    </row>
    <row r="999" ht="15.75" customHeight="1">
      <c r="A999" s="58"/>
      <c r="C999" s="49"/>
      <c r="D999" s="58"/>
      <c r="F999" s="49"/>
      <c r="G999" s="58"/>
      <c r="I999" s="49"/>
      <c r="J999" s="58"/>
      <c r="L999" s="49"/>
      <c r="M999" s="58"/>
      <c r="O999" s="49"/>
    </row>
    <row r="1000" ht="15.75" customHeight="1">
      <c r="A1000" s="58"/>
      <c r="C1000" s="49"/>
      <c r="D1000" s="58"/>
      <c r="F1000" s="49"/>
      <c r="G1000" s="58"/>
      <c r="I1000" s="49"/>
      <c r="J1000" s="58"/>
      <c r="L1000" s="49"/>
      <c r="M1000" s="58"/>
      <c r="O1000" s="49"/>
    </row>
    <row r="1001" ht="15.75" customHeight="1">
      <c r="A1001" s="58"/>
      <c r="C1001" s="49"/>
      <c r="D1001" s="58"/>
      <c r="F1001" s="49"/>
      <c r="G1001" s="58"/>
      <c r="I1001" s="49"/>
      <c r="J1001" s="58"/>
      <c r="L1001" s="49"/>
      <c r="M1001" s="58"/>
      <c r="O1001" s="49"/>
    </row>
    <row r="1002" ht="15.75" customHeight="1">
      <c r="A1002" s="58"/>
      <c r="C1002" s="49"/>
      <c r="D1002" s="58"/>
      <c r="F1002" s="49"/>
      <c r="G1002" s="58"/>
      <c r="I1002" s="49"/>
      <c r="J1002" s="58"/>
      <c r="L1002" s="49"/>
      <c r="M1002" s="58"/>
      <c r="O1002" s="49"/>
    </row>
    <row r="1003" ht="15.75" customHeight="1">
      <c r="A1003" s="58"/>
      <c r="C1003" s="49"/>
      <c r="D1003" s="58"/>
      <c r="F1003" s="49"/>
      <c r="G1003" s="58"/>
      <c r="I1003" s="49"/>
      <c r="J1003" s="58"/>
      <c r="L1003" s="49"/>
      <c r="M1003" s="58"/>
      <c r="O1003" s="49"/>
    </row>
    <row r="1004" ht="15.75" customHeight="1">
      <c r="A1004" s="58"/>
      <c r="C1004" s="49"/>
      <c r="D1004" s="58"/>
      <c r="F1004" s="49"/>
      <c r="G1004" s="58"/>
      <c r="I1004" s="49"/>
      <c r="J1004" s="58"/>
      <c r="L1004" s="49"/>
      <c r="M1004" s="58"/>
      <c r="O1004" s="49"/>
    </row>
    <row r="1005" ht="15.75" customHeight="1">
      <c r="A1005" s="58"/>
      <c r="C1005" s="49"/>
      <c r="D1005" s="58"/>
      <c r="F1005" s="49"/>
      <c r="G1005" s="58"/>
      <c r="I1005" s="49"/>
      <c r="J1005" s="58"/>
      <c r="L1005" s="49"/>
      <c r="M1005" s="58"/>
      <c r="O1005" s="49"/>
    </row>
    <row r="1006" ht="15.75" customHeight="1">
      <c r="A1006" s="58"/>
      <c r="C1006" s="49"/>
      <c r="D1006" s="58"/>
      <c r="F1006" s="49"/>
      <c r="G1006" s="58"/>
      <c r="I1006" s="49"/>
      <c r="J1006" s="58"/>
      <c r="L1006" s="49"/>
      <c r="M1006" s="58"/>
      <c r="O1006" s="49"/>
    </row>
    <row r="1007" ht="15.75" customHeight="1">
      <c r="A1007" s="58"/>
      <c r="C1007" s="49"/>
      <c r="D1007" s="58"/>
      <c r="F1007" s="49"/>
      <c r="G1007" s="58"/>
      <c r="I1007" s="49"/>
      <c r="J1007" s="58"/>
      <c r="L1007" s="49"/>
      <c r="M1007" s="58"/>
      <c r="O1007" s="49"/>
    </row>
    <row r="1008" ht="15.75" customHeight="1">
      <c r="A1008" s="58"/>
      <c r="C1008" s="49"/>
      <c r="D1008" s="58"/>
      <c r="F1008" s="49"/>
      <c r="G1008" s="58"/>
      <c r="I1008" s="49"/>
      <c r="J1008" s="58"/>
      <c r="L1008" s="49"/>
      <c r="M1008" s="58"/>
      <c r="O1008" s="49"/>
    </row>
    <row r="1009" ht="15.75" customHeight="1">
      <c r="A1009" s="58"/>
      <c r="C1009" s="49"/>
      <c r="D1009" s="58"/>
      <c r="F1009" s="49"/>
      <c r="G1009" s="58"/>
      <c r="I1009" s="49"/>
      <c r="J1009" s="58"/>
      <c r="L1009" s="49"/>
      <c r="M1009" s="58"/>
      <c r="O1009" s="49"/>
    </row>
  </sheetData>
  <mergeCells count="10">
    <mergeCell ref="H2:I2"/>
    <mergeCell ref="K2:L2"/>
    <mergeCell ref="A1:C1"/>
    <mergeCell ref="D1:F1"/>
    <mergeCell ref="G1:I1"/>
    <mergeCell ref="J1:L1"/>
    <mergeCell ref="M1:O1"/>
    <mergeCell ref="B2:C2"/>
    <mergeCell ref="E2:F2"/>
    <mergeCell ref="N2:O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2.14"/>
    <col customWidth="1" min="3" max="3" width="9.14"/>
    <col customWidth="1" min="4" max="4" width="16.29"/>
    <col customWidth="1" min="5" max="5" width="9.14"/>
    <col customWidth="1" min="6" max="6" width="21.43"/>
    <col customWidth="1" min="7" max="7" width="18.86"/>
    <col customWidth="1" min="8" max="8" width="20.57"/>
    <col customWidth="1" min="9" max="9" width="15.71"/>
    <col customWidth="1" min="10" max="10" width="9.14"/>
    <col customWidth="1" min="11" max="11" width="38.29"/>
    <col customWidth="1" min="12" max="12" width="12.43"/>
    <col customWidth="1" min="13" max="14" width="12.14"/>
    <col customWidth="1" min="15" max="15" width="12.86"/>
    <col customWidth="1" min="16" max="16" width="13.43"/>
    <col customWidth="1" min="17" max="17" width="13.29"/>
    <col customWidth="1" min="18" max="18" width="14.0"/>
    <col customWidth="1" min="19" max="19" width="13.29"/>
    <col customWidth="1" min="20" max="20" width="11.0"/>
    <col customWidth="1" min="21" max="21" width="9.14"/>
    <col customWidth="1" min="22" max="22" width="10.57"/>
    <col customWidth="1" min="23" max="23" width="10.43"/>
  </cols>
  <sheetData>
    <row r="1" ht="14.25" customHeight="1">
      <c r="A1" s="62"/>
      <c r="B1" s="63"/>
      <c r="C1" s="63"/>
      <c r="D1" s="64"/>
      <c r="E1" s="65"/>
      <c r="F1" s="66" t="s">
        <v>74</v>
      </c>
      <c r="G1" s="63"/>
      <c r="H1" s="63"/>
      <c r="I1" s="64"/>
      <c r="J1" s="65"/>
      <c r="K1" s="67" t="s">
        <v>75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8"/>
      <c r="X1" s="69" t="s">
        <v>76</v>
      </c>
      <c r="Y1" s="63"/>
      <c r="Z1" s="63"/>
      <c r="AA1" s="63"/>
      <c r="AB1" s="63"/>
      <c r="AC1" s="63"/>
      <c r="AD1" s="64"/>
    </row>
    <row r="2" ht="14.25" customHeight="1">
      <c r="A2" s="70" t="s">
        <v>77</v>
      </c>
      <c r="B2" s="71" t="s">
        <v>78</v>
      </c>
      <c r="C2" s="72" t="s">
        <v>79</v>
      </c>
      <c r="D2" s="73" t="s">
        <v>80</v>
      </c>
      <c r="E2" s="65"/>
      <c r="F2" s="72" t="s">
        <v>81</v>
      </c>
      <c r="G2" s="71" t="s">
        <v>82</v>
      </c>
      <c r="H2" s="72" t="s">
        <v>83</v>
      </c>
      <c r="I2" s="74" t="s">
        <v>80</v>
      </c>
      <c r="J2" s="65"/>
      <c r="K2" s="75" t="s">
        <v>84</v>
      </c>
      <c r="L2" s="76" t="s">
        <v>85</v>
      </c>
      <c r="M2" s="77" t="s">
        <v>86</v>
      </c>
      <c r="N2" s="77" t="s">
        <v>87</v>
      </c>
      <c r="O2" s="75" t="s">
        <v>79</v>
      </c>
      <c r="P2" s="75" t="s">
        <v>88</v>
      </c>
      <c r="Q2" s="78" t="s">
        <v>89</v>
      </c>
      <c r="R2" s="78" t="s">
        <v>90</v>
      </c>
      <c r="S2" s="78" t="s">
        <v>91</v>
      </c>
      <c r="T2" s="79" t="s">
        <v>92</v>
      </c>
      <c r="U2" s="79" t="s">
        <v>93</v>
      </c>
      <c r="V2" s="80" t="s">
        <v>94</v>
      </c>
      <c r="W2" s="68"/>
      <c r="X2" s="81" t="s">
        <v>95</v>
      </c>
      <c r="Y2" s="81" t="s">
        <v>96</v>
      </c>
      <c r="Z2" s="81" t="s">
        <v>97</v>
      </c>
      <c r="AA2" s="81" t="s">
        <v>98</v>
      </c>
      <c r="AB2" s="81" t="s">
        <v>99</v>
      </c>
      <c r="AC2" s="81" t="s">
        <v>100</v>
      </c>
      <c r="AD2" s="81" t="s">
        <v>101</v>
      </c>
    </row>
    <row r="3" ht="14.25" customHeight="1">
      <c r="A3" s="82" t="s">
        <v>102</v>
      </c>
      <c r="B3" s="83"/>
      <c r="C3" s="84"/>
      <c r="D3" s="85"/>
      <c r="E3" s="65"/>
      <c r="F3" s="86" t="s">
        <v>103</v>
      </c>
      <c r="G3" s="87"/>
      <c r="H3" s="88" t="s">
        <v>104</v>
      </c>
      <c r="I3" s="89" t="str">
        <f t="shared" ref="I3:I25" si="1">IF(AND(F3&lt;&gt;"NONE",H3&lt;&gt;"NONE", G3&gt;0),VLOOKUP(H3,$A$52:$B$63,2,FALSE)-G3+VLOOKUP(H3,$A$25:$B$36,2,FALSE),"")</f>
        <v/>
      </c>
      <c r="J3" s="65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68"/>
      <c r="X3" s="91">
        <v>209921.0</v>
      </c>
      <c r="Y3" s="92" t="s">
        <v>105</v>
      </c>
      <c r="Z3" s="92" t="s">
        <v>106</v>
      </c>
      <c r="AA3" s="92">
        <v>1000.0</v>
      </c>
      <c r="AB3" s="92">
        <v>13.0</v>
      </c>
      <c r="AC3" s="93"/>
      <c r="AD3" s="94"/>
    </row>
    <row r="4" ht="14.25" customHeight="1">
      <c r="A4" s="95" t="s">
        <v>107</v>
      </c>
      <c r="B4" s="12">
        <v>650.0</v>
      </c>
      <c r="C4" s="96">
        <v>0.0</v>
      </c>
      <c r="D4" s="97">
        <f t="shared" ref="D4:D5" si="2">C4*B4</f>
        <v>0</v>
      </c>
      <c r="E4" s="65"/>
      <c r="F4" s="98" t="s">
        <v>108</v>
      </c>
      <c r="G4" s="16"/>
      <c r="H4" s="96" t="s">
        <v>108</v>
      </c>
      <c r="I4" s="89" t="str">
        <f t="shared" si="1"/>
        <v/>
      </c>
      <c r="J4" s="65"/>
      <c r="K4" s="95" t="s">
        <v>109</v>
      </c>
      <c r="L4" s="96">
        <v>15.0</v>
      </c>
      <c r="M4" s="99">
        <v>0.0</v>
      </c>
      <c r="N4" s="99">
        <v>46.0</v>
      </c>
      <c r="O4" s="100">
        <f t="shared" ref="O4:O14" si="3">C14</f>
        <v>0</v>
      </c>
      <c r="P4" s="100">
        <f t="shared" ref="P4:P14" si="4">C26</f>
        <v>41</v>
      </c>
      <c r="Q4" s="100">
        <f t="shared" ref="Q4:Q8" si="5">COUNTIF($H$3:$H$25,K4)</f>
        <v>0</v>
      </c>
      <c r="R4" s="101">
        <f t="shared" ref="R4:R14" si="6">C38</f>
        <v>0</v>
      </c>
      <c r="S4" s="99">
        <v>2.0</v>
      </c>
      <c r="T4" s="100">
        <f t="shared" ref="T4:T14" si="7">L4+M4+N4-O4-P4-Q4-R4-S4</f>
        <v>18</v>
      </c>
      <c r="U4" s="102">
        <v>18.0</v>
      </c>
      <c r="V4" s="103">
        <f t="shared" ref="V4:V14" si="8">U4-T4</f>
        <v>0</v>
      </c>
      <c r="W4" s="68"/>
      <c r="X4" s="98">
        <v>209922.0</v>
      </c>
      <c r="Y4" s="96" t="s">
        <v>110</v>
      </c>
      <c r="Z4" s="96" t="s">
        <v>109</v>
      </c>
      <c r="AA4" s="96">
        <v>289.0</v>
      </c>
      <c r="AB4" s="104"/>
      <c r="AC4" s="104"/>
      <c r="AD4" s="105"/>
    </row>
    <row r="5" ht="14.25" customHeight="1">
      <c r="A5" s="95" t="s">
        <v>111</v>
      </c>
      <c r="B5" s="12">
        <v>375.0</v>
      </c>
      <c r="C5" s="106">
        <v>0.0</v>
      </c>
      <c r="D5" s="97">
        <f t="shared" si="2"/>
        <v>0</v>
      </c>
      <c r="E5" s="65"/>
      <c r="F5" s="98" t="s">
        <v>108</v>
      </c>
      <c r="G5" s="12"/>
      <c r="H5" s="96" t="s">
        <v>108</v>
      </c>
      <c r="I5" s="89" t="str">
        <f t="shared" si="1"/>
        <v/>
      </c>
      <c r="J5" s="65"/>
      <c r="K5" s="107" t="s">
        <v>112</v>
      </c>
      <c r="L5" s="96">
        <v>2.0</v>
      </c>
      <c r="M5" s="108">
        <v>0.0</v>
      </c>
      <c r="N5" s="99">
        <v>7.0</v>
      </c>
      <c r="O5" s="100">
        <f t="shared" si="3"/>
        <v>0</v>
      </c>
      <c r="P5" s="100">
        <f t="shared" si="4"/>
        <v>1</v>
      </c>
      <c r="Q5" s="100">
        <f t="shared" si="5"/>
        <v>0</v>
      </c>
      <c r="R5" s="101">
        <f t="shared" si="6"/>
        <v>0</v>
      </c>
      <c r="S5" s="109"/>
      <c r="T5" s="100">
        <f t="shared" si="7"/>
        <v>8</v>
      </c>
      <c r="U5" s="102">
        <v>8.0</v>
      </c>
      <c r="V5" s="103">
        <f t="shared" si="8"/>
        <v>0</v>
      </c>
      <c r="W5" s="68"/>
      <c r="X5" s="98">
        <v>209923.0</v>
      </c>
      <c r="Y5" s="96" t="s">
        <v>113</v>
      </c>
      <c r="Z5" s="96" t="s">
        <v>106</v>
      </c>
      <c r="AA5" s="96">
        <v>1000.0</v>
      </c>
      <c r="AB5" s="96">
        <v>13.0</v>
      </c>
      <c r="AC5" s="104"/>
      <c r="AD5" s="105"/>
    </row>
    <row r="6" ht="14.25" customHeight="1">
      <c r="A6" s="110" t="s">
        <v>114</v>
      </c>
      <c r="B6" s="111"/>
      <c r="C6" s="112"/>
      <c r="D6" s="113"/>
      <c r="E6" s="65"/>
      <c r="F6" s="98" t="s">
        <v>108</v>
      </c>
      <c r="G6" s="12"/>
      <c r="H6" s="96" t="s">
        <v>108</v>
      </c>
      <c r="I6" s="89" t="str">
        <f t="shared" si="1"/>
        <v/>
      </c>
      <c r="J6" s="65"/>
      <c r="K6" s="107" t="s">
        <v>115</v>
      </c>
      <c r="L6" s="96">
        <v>6.0</v>
      </c>
      <c r="M6" s="108">
        <v>0.0</v>
      </c>
      <c r="N6" s="99">
        <v>10.0</v>
      </c>
      <c r="O6" s="100">
        <f t="shared" si="3"/>
        <v>0</v>
      </c>
      <c r="P6" s="100">
        <f t="shared" si="4"/>
        <v>3</v>
      </c>
      <c r="Q6" s="100">
        <f t="shared" si="5"/>
        <v>0</v>
      </c>
      <c r="R6" s="101">
        <f t="shared" si="6"/>
        <v>0</v>
      </c>
      <c r="S6" s="109"/>
      <c r="T6" s="100">
        <f t="shared" si="7"/>
        <v>13</v>
      </c>
      <c r="U6" s="102">
        <v>13.0</v>
      </c>
      <c r="V6" s="103">
        <f t="shared" si="8"/>
        <v>0</v>
      </c>
      <c r="W6" s="68"/>
      <c r="X6" s="98">
        <v>209924.0</v>
      </c>
      <c r="Y6" s="96" t="s">
        <v>116</v>
      </c>
      <c r="Z6" s="96" t="s">
        <v>117</v>
      </c>
      <c r="AA6" s="96">
        <v>1000.0</v>
      </c>
      <c r="AB6" s="96">
        <v>13.0</v>
      </c>
      <c r="AC6" s="104"/>
      <c r="AD6" s="105"/>
    </row>
    <row r="7" ht="14.25" customHeight="1">
      <c r="A7" s="95" t="s">
        <v>118</v>
      </c>
      <c r="B7" s="12">
        <v>650.0</v>
      </c>
      <c r="C7" s="106">
        <v>0.0</v>
      </c>
      <c r="D7" s="97">
        <f t="shared" ref="D7:D12" si="9">C7*B7</f>
        <v>0</v>
      </c>
      <c r="E7" s="65"/>
      <c r="F7" s="98" t="s">
        <v>108</v>
      </c>
      <c r="G7" s="12"/>
      <c r="H7" s="96" t="s">
        <v>108</v>
      </c>
      <c r="I7" s="89" t="str">
        <f t="shared" si="1"/>
        <v/>
      </c>
      <c r="J7" s="65"/>
      <c r="K7" s="107" t="s">
        <v>119</v>
      </c>
      <c r="L7" s="96">
        <v>4.0</v>
      </c>
      <c r="M7" s="108"/>
      <c r="N7" s="99">
        <v>14.0</v>
      </c>
      <c r="O7" s="100">
        <f t="shared" si="3"/>
        <v>0</v>
      </c>
      <c r="P7" s="100">
        <f t="shared" si="4"/>
        <v>13</v>
      </c>
      <c r="Q7" s="100">
        <f t="shared" si="5"/>
        <v>0</v>
      </c>
      <c r="R7" s="101">
        <f t="shared" si="6"/>
        <v>0</v>
      </c>
      <c r="S7" s="109"/>
      <c r="T7" s="100">
        <f t="shared" si="7"/>
        <v>5</v>
      </c>
      <c r="U7" s="102">
        <v>5.0</v>
      </c>
      <c r="V7" s="103">
        <f t="shared" si="8"/>
        <v>0</v>
      </c>
      <c r="W7" s="68"/>
      <c r="X7" s="98">
        <v>209925.0</v>
      </c>
      <c r="Y7" s="96" t="s">
        <v>120</v>
      </c>
      <c r="Z7" s="96" t="s">
        <v>109</v>
      </c>
      <c r="AA7" s="96">
        <v>289.0</v>
      </c>
      <c r="AB7" s="104"/>
      <c r="AC7" s="104"/>
      <c r="AD7" s="105"/>
    </row>
    <row r="8" ht="14.25" customHeight="1">
      <c r="A8" s="95" t="s">
        <v>121</v>
      </c>
      <c r="B8" s="12">
        <v>180.0</v>
      </c>
      <c r="C8" s="96">
        <v>1.0</v>
      </c>
      <c r="D8" s="97">
        <f t="shared" si="9"/>
        <v>180</v>
      </c>
      <c r="E8" s="65"/>
      <c r="F8" s="98" t="s">
        <v>108</v>
      </c>
      <c r="G8" s="12"/>
      <c r="H8" s="96" t="s">
        <v>108</v>
      </c>
      <c r="I8" s="89" t="str">
        <f t="shared" si="1"/>
        <v/>
      </c>
      <c r="J8" s="65"/>
      <c r="K8" s="107" t="s">
        <v>103</v>
      </c>
      <c r="L8" s="96">
        <v>39.0</v>
      </c>
      <c r="M8" s="108"/>
      <c r="N8" s="99">
        <v>72.0</v>
      </c>
      <c r="O8" s="100">
        <f t="shared" si="3"/>
        <v>0</v>
      </c>
      <c r="P8" s="100">
        <f t="shared" si="4"/>
        <v>95</v>
      </c>
      <c r="Q8" s="100">
        <f t="shared" si="5"/>
        <v>0</v>
      </c>
      <c r="R8" s="101">
        <f t="shared" si="6"/>
        <v>0</v>
      </c>
      <c r="S8" s="99">
        <v>9.0</v>
      </c>
      <c r="T8" s="100">
        <f t="shared" si="7"/>
        <v>7</v>
      </c>
      <c r="U8" s="102">
        <v>7.0</v>
      </c>
      <c r="V8" s="103">
        <f t="shared" si="8"/>
        <v>0</v>
      </c>
      <c r="W8" s="68"/>
      <c r="X8" s="98">
        <v>209926.0</v>
      </c>
      <c r="Y8" s="96" t="s">
        <v>122</v>
      </c>
      <c r="Z8" s="96" t="s">
        <v>117</v>
      </c>
      <c r="AA8" s="96">
        <v>1000.0</v>
      </c>
      <c r="AB8" s="96">
        <v>13.0</v>
      </c>
      <c r="AC8" s="104"/>
      <c r="AD8" s="105"/>
    </row>
    <row r="9" ht="14.25" customHeight="1">
      <c r="A9" s="95" t="s">
        <v>123</v>
      </c>
      <c r="B9" s="12">
        <v>20.0</v>
      </c>
      <c r="C9" s="96">
        <v>1.0</v>
      </c>
      <c r="D9" s="97">
        <f t="shared" si="9"/>
        <v>20</v>
      </c>
      <c r="E9" s="65"/>
      <c r="F9" s="98" t="s">
        <v>108</v>
      </c>
      <c r="G9" s="12"/>
      <c r="H9" s="96" t="s">
        <v>108</v>
      </c>
      <c r="I9" s="89" t="str">
        <f t="shared" si="1"/>
        <v/>
      </c>
      <c r="J9" s="65"/>
      <c r="K9" s="107" t="s">
        <v>104</v>
      </c>
      <c r="L9" s="96">
        <v>17.0</v>
      </c>
      <c r="M9" s="108">
        <v>0.0</v>
      </c>
      <c r="N9" s="99">
        <v>110.0</v>
      </c>
      <c r="O9" s="100">
        <f t="shared" si="3"/>
        <v>0</v>
      </c>
      <c r="P9" s="100">
        <f t="shared" si="4"/>
        <v>96</v>
      </c>
      <c r="Q9" s="101">
        <v>0.0</v>
      </c>
      <c r="R9" s="101">
        <f t="shared" si="6"/>
        <v>0</v>
      </c>
      <c r="S9" s="99">
        <v>5.0</v>
      </c>
      <c r="T9" s="100">
        <f t="shared" si="7"/>
        <v>26</v>
      </c>
      <c r="U9" s="102">
        <v>26.0</v>
      </c>
      <c r="V9" s="103">
        <f t="shared" si="8"/>
        <v>0</v>
      </c>
      <c r="W9" s="68"/>
      <c r="X9" s="98">
        <v>209927.0</v>
      </c>
      <c r="Y9" s="96" t="s">
        <v>124</v>
      </c>
      <c r="Z9" s="96">
        <v>2.7</v>
      </c>
      <c r="AA9" s="96">
        <v>289.0</v>
      </c>
      <c r="AB9" s="104"/>
      <c r="AC9" s="104"/>
      <c r="AD9" s="105"/>
    </row>
    <row r="10" ht="14.25" customHeight="1">
      <c r="A10" s="95" t="s">
        <v>125</v>
      </c>
      <c r="B10" s="12">
        <v>650.0</v>
      </c>
      <c r="C10" s="106">
        <v>0.0</v>
      </c>
      <c r="D10" s="97">
        <f t="shared" si="9"/>
        <v>0</v>
      </c>
      <c r="E10" s="65"/>
      <c r="F10" s="98" t="s">
        <v>108</v>
      </c>
      <c r="G10" s="12"/>
      <c r="H10" s="96" t="s">
        <v>108</v>
      </c>
      <c r="I10" s="89" t="str">
        <f t="shared" si="1"/>
        <v/>
      </c>
      <c r="J10" s="65"/>
      <c r="K10" s="107" t="s">
        <v>126</v>
      </c>
      <c r="L10" s="96">
        <v>8.0</v>
      </c>
      <c r="M10" s="108">
        <v>0.0</v>
      </c>
      <c r="N10" s="99"/>
      <c r="O10" s="100">
        <f t="shared" si="3"/>
        <v>0</v>
      </c>
      <c r="P10" s="100">
        <f t="shared" si="4"/>
        <v>0</v>
      </c>
      <c r="Q10" s="100">
        <f t="shared" ref="Q10:Q14" si="10">COUNTIF($H$3:$H$25,K10)</f>
        <v>0</v>
      </c>
      <c r="R10" s="101">
        <f t="shared" si="6"/>
        <v>0</v>
      </c>
      <c r="S10" s="109"/>
      <c r="T10" s="100">
        <f t="shared" si="7"/>
        <v>8</v>
      </c>
      <c r="U10" s="102">
        <v>8.0</v>
      </c>
      <c r="V10" s="103">
        <f t="shared" si="8"/>
        <v>0</v>
      </c>
      <c r="W10" s="68"/>
      <c r="X10" s="98">
        <v>209928.0</v>
      </c>
      <c r="Y10" s="96" t="s">
        <v>127</v>
      </c>
      <c r="Z10" s="96" t="s">
        <v>106</v>
      </c>
      <c r="AA10" s="96">
        <v>1000.0</v>
      </c>
      <c r="AB10" s="96">
        <v>13.0</v>
      </c>
      <c r="AC10" s="104"/>
      <c r="AD10" s="105"/>
    </row>
    <row r="11" ht="14.25" customHeight="1">
      <c r="A11" s="95" t="s">
        <v>128</v>
      </c>
      <c r="B11" s="12">
        <v>1200.0</v>
      </c>
      <c r="C11" s="106">
        <v>0.0</v>
      </c>
      <c r="D11" s="97">
        <f t="shared" si="9"/>
        <v>0</v>
      </c>
      <c r="E11" s="65"/>
      <c r="F11" s="98" t="s">
        <v>108</v>
      </c>
      <c r="G11" s="12"/>
      <c r="H11" s="96" t="s">
        <v>108</v>
      </c>
      <c r="I11" s="89" t="str">
        <f t="shared" si="1"/>
        <v/>
      </c>
      <c r="J11" s="65"/>
      <c r="K11" s="107" t="s">
        <v>129</v>
      </c>
      <c r="L11" s="96">
        <v>17.0</v>
      </c>
      <c r="M11" s="108">
        <v>0.0</v>
      </c>
      <c r="N11" s="99"/>
      <c r="O11" s="100">
        <f t="shared" si="3"/>
        <v>0</v>
      </c>
      <c r="P11" s="100">
        <f t="shared" si="4"/>
        <v>1</v>
      </c>
      <c r="Q11" s="100">
        <f t="shared" si="10"/>
        <v>0</v>
      </c>
      <c r="R11" s="101">
        <f t="shared" si="6"/>
        <v>0</v>
      </c>
      <c r="S11" s="109"/>
      <c r="T11" s="100">
        <f t="shared" si="7"/>
        <v>16</v>
      </c>
      <c r="U11" s="102">
        <v>16.0</v>
      </c>
      <c r="V11" s="103">
        <f t="shared" si="8"/>
        <v>0</v>
      </c>
      <c r="W11" s="68"/>
      <c r="X11" s="98">
        <v>209929.0</v>
      </c>
      <c r="Y11" s="96" t="s">
        <v>130</v>
      </c>
      <c r="Z11" s="96" t="s">
        <v>117</v>
      </c>
      <c r="AA11" s="96">
        <v>1000.0</v>
      </c>
      <c r="AB11" s="96">
        <v>13.0</v>
      </c>
      <c r="AC11" s="104"/>
      <c r="AD11" s="105"/>
    </row>
    <row r="12" ht="14.25" customHeight="1">
      <c r="A12" s="107" t="s">
        <v>131</v>
      </c>
      <c r="B12" s="16">
        <v>150.0</v>
      </c>
      <c r="C12" s="96">
        <v>1.0</v>
      </c>
      <c r="D12" s="97">
        <f t="shared" si="9"/>
        <v>150</v>
      </c>
      <c r="E12" s="65"/>
      <c r="F12" s="98" t="s">
        <v>108</v>
      </c>
      <c r="G12" s="12"/>
      <c r="H12" s="96" t="s">
        <v>108</v>
      </c>
      <c r="I12" s="89" t="str">
        <f t="shared" si="1"/>
        <v/>
      </c>
      <c r="J12" s="65"/>
      <c r="K12" s="95" t="s">
        <v>132</v>
      </c>
      <c r="L12" s="96"/>
      <c r="M12" s="108">
        <v>0.0</v>
      </c>
      <c r="N12" s="99">
        <v>5.0</v>
      </c>
      <c r="O12" s="100">
        <f t="shared" si="3"/>
        <v>0</v>
      </c>
      <c r="P12" s="100">
        <f t="shared" si="4"/>
        <v>1</v>
      </c>
      <c r="Q12" s="100">
        <f t="shared" si="10"/>
        <v>0</v>
      </c>
      <c r="R12" s="101">
        <f t="shared" si="6"/>
        <v>0</v>
      </c>
      <c r="S12" s="109"/>
      <c r="T12" s="100">
        <f t="shared" si="7"/>
        <v>4</v>
      </c>
      <c r="U12" s="102">
        <v>4.0</v>
      </c>
      <c r="V12" s="103">
        <f t="shared" si="8"/>
        <v>0</v>
      </c>
      <c r="W12" s="68"/>
      <c r="X12" s="98">
        <v>209930.0</v>
      </c>
      <c r="Y12" s="96" t="s">
        <v>133</v>
      </c>
      <c r="Z12" s="96" t="s">
        <v>117</v>
      </c>
      <c r="AA12" s="96">
        <v>977.0</v>
      </c>
      <c r="AB12" s="96">
        <v>36.0</v>
      </c>
      <c r="AC12" s="104"/>
      <c r="AD12" s="105"/>
    </row>
    <row r="13" ht="14.25" customHeight="1">
      <c r="A13" s="114" t="s">
        <v>134</v>
      </c>
      <c r="B13" s="111"/>
      <c r="C13" s="112"/>
      <c r="D13" s="113"/>
      <c r="E13" s="65"/>
      <c r="F13" s="98" t="s">
        <v>108</v>
      </c>
      <c r="G13" s="12"/>
      <c r="H13" s="96" t="s">
        <v>108</v>
      </c>
      <c r="I13" s="89" t="str">
        <f t="shared" si="1"/>
        <v/>
      </c>
      <c r="J13" s="65"/>
      <c r="K13" s="107" t="s">
        <v>135</v>
      </c>
      <c r="L13" s="96"/>
      <c r="M13" s="108">
        <v>0.0</v>
      </c>
      <c r="N13" s="99"/>
      <c r="O13" s="100">
        <f t="shared" si="3"/>
        <v>0</v>
      </c>
      <c r="P13" s="100">
        <f t="shared" si="4"/>
        <v>0</v>
      </c>
      <c r="Q13" s="100">
        <f t="shared" si="10"/>
        <v>0</v>
      </c>
      <c r="R13" s="101">
        <f t="shared" si="6"/>
        <v>0</v>
      </c>
      <c r="S13" s="109"/>
      <c r="T13" s="100">
        <f t="shared" si="7"/>
        <v>0</v>
      </c>
      <c r="U13" s="115"/>
      <c r="V13" s="103">
        <f t="shared" si="8"/>
        <v>0</v>
      </c>
      <c r="W13" s="68"/>
      <c r="X13" s="98">
        <v>209931.0</v>
      </c>
      <c r="Y13" s="96" t="s">
        <v>136</v>
      </c>
      <c r="Z13" s="96" t="s">
        <v>137</v>
      </c>
      <c r="AA13" s="104"/>
      <c r="AB13" s="104"/>
      <c r="AC13" s="96">
        <v>4052.0</v>
      </c>
      <c r="AD13" s="105"/>
    </row>
    <row r="14" ht="14.25" customHeight="1">
      <c r="A14" s="95" t="s">
        <v>109</v>
      </c>
      <c r="B14" s="116">
        <f t="shared" ref="B14:B24" si="11">B26+B53</f>
        <v>1489</v>
      </c>
      <c r="C14" s="96">
        <v>0.0</v>
      </c>
      <c r="D14" s="97">
        <f t="shared" ref="D14:D24" si="12">C14*B14</f>
        <v>0</v>
      </c>
      <c r="E14" s="65"/>
      <c r="F14" s="98" t="s">
        <v>108</v>
      </c>
      <c r="G14" s="12"/>
      <c r="H14" s="96" t="s">
        <v>108</v>
      </c>
      <c r="I14" s="89" t="str">
        <f t="shared" si="1"/>
        <v/>
      </c>
      <c r="J14" s="65"/>
      <c r="K14" s="117" t="s">
        <v>138</v>
      </c>
      <c r="L14" s="118">
        <v>2.0</v>
      </c>
      <c r="M14" s="119">
        <v>0.0</v>
      </c>
      <c r="N14" s="120">
        <v>5.0</v>
      </c>
      <c r="O14" s="121">
        <f t="shared" si="3"/>
        <v>0</v>
      </c>
      <c r="P14" s="121">
        <f t="shared" si="4"/>
        <v>2</v>
      </c>
      <c r="Q14" s="121">
        <f t="shared" si="10"/>
        <v>0</v>
      </c>
      <c r="R14" s="122">
        <f t="shared" si="6"/>
        <v>0</v>
      </c>
      <c r="S14" s="123"/>
      <c r="T14" s="121">
        <f t="shared" si="7"/>
        <v>5</v>
      </c>
      <c r="U14" s="124">
        <v>5.0</v>
      </c>
      <c r="V14" s="125">
        <f t="shared" si="8"/>
        <v>0</v>
      </c>
      <c r="W14" s="68"/>
      <c r="X14" s="126"/>
      <c r="Y14" s="104"/>
      <c r="Z14" s="96" t="s">
        <v>139</v>
      </c>
      <c r="AA14" s="104"/>
      <c r="AB14" s="104"/>
      <c r="AC14" s="96">
        <v>4052.0</v>
      </c>
      <c r="AD14" s="105"/>
    </row>
    <row r="15" ht="14.25" customHeight="1">
      <c r="A15" s="107" t="s">
        <v>112</v>
      </c>
      <c r="B15" s="116">
        <f t="shared" si="11"/>
        <v>1489</v>
      </c>
      <c r="C15" s="96">
        <v>0.0</v>
      </c>
      <c r="D15" s="97">
        <f t="shared" si="12"/>
        <v>0</v>
      </c>
      <c r="E15" s="65"/>
      <c r="F15" s="98" t="s">
        <v>108</v>
      </c>
      <c r="G15" s="12"/>
      <c r="H15" s="96" t="s">
        <v>108</v>
      </c>
      <c r="I15" s="89" t="str">
        <f t="shared" si="1"/>
        <v/>
      </c>
      <c r="J15" s="65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68"/>
      <c r="X15" s="98">
        <v>209932.0</v>
      </c>
      <c r="Y15" s="96" t="s">
        <v>140</v>
      </c>
      <c r="Z15" s="96" t="s">
        <v>141</v>
      </c>
      <c r="AA15" s="104"/>
      <c r="AB15" s="104"/>
      <c r="AC15" s="96">
        <v>3039.0</v>
      </c>
      <c r="AD15" s="105"/>
    </row>
    <row r="16" ht="14.25" customHeight="1">
      <c r="A16" s="107" t="s">
        <v>115</v>
      </c>
      <c r="B16" s="116">
        <f t="shared" si="11"/>
        <v>2588</v>
      </c>
      <c r="C16" s="96">
        <v>0.0</v>
      </c>
      <c r="D16" s="97">
        <f t="shared" si="12"/>
        <v>0</v>
      </c>
      <c r="E16" s="65"/>
      <c r="F16" s="98" t="s">
        <v>108</v>
      </c>
      <c r="G16" s="12"/>
      <c r="H16" s="96" t="s">
        <v>108</v>
      </c>
      <c r="I16" s="89" t="str">
        <f t="shared" si="1"/>
        <v/>
      </c>
      <c r="J16" s="65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68"/>
      <c r="X16" s="126"/>
      <c r="Y16" s="104"/>
      <c r="Z16" s="96" t="s">
        <v>142</v>
      </c>
      <c r="AA16" s="104"/>
      <c r="AB16" s="104"/>
      <c r="AC16" s="96">
        <v>1376.0</v>
      </c>
      <c r="AD16" s="105"/>
    </row>
    <row r="17" ht="14.25" customHeight="1">
      <c r="A17" s="107" t="s">
        <v>119</v>
      </c>
      <c r="B17" s="116">
        <f t="shared" si="11"/>
        <v>2588</v>
      </c>
      <c r="C17" s="96">
        <v>0.0</v>
      </c>
      <c r="D17" s="97">
        <f t="shared" si="12"/>
        <v>0</v>
      </c>
      <c r="E17" s="65"/>
      <c r="F17" s="98" t="s">
        <v>108</v>
      </c>
      <c r="G17" s="12"/>
      <c r="H17" s="96" t="s">
        <v>108</v>
      </c>
      <c r="I17" s="89" t="str">
        <f t="shared" si="1"/>
        <v/>
      </c>
      <c r="J17" s="65"/>
      <c r="K17" s="72" t="s">
        <v>143</v>
      </c>
      <c r="L17" s="72" t="s">
        <v>85</v>
      </c>
      <c r="M17" s="128" t="s">
        <v>144</v>
      </c>
      <c r="N17" s="128" t="s">
        <v>88</v>
      </c>
      <c r="O17" s="128" t="s">
        <v>89</v>
      </c>
      <c r="P17" s="128" t="s">
        <v>145</v>
      </c>
      <c r="Q17" s="72" t="s">
        <v>92</v>
      </c>
      <c r="R17" s="129" t="s">
        <v>93</v>
      </c>
      <c r="S17" s="130" t="s">
        <v>94</v>
      </c>
      <c r="T17" s="131"/>
      <c r="U17" s="127"/>
      <c r="V17" s="127"/>
      <c r="W17" s="68"/>
      <c r="X17" s="98">
        <v>209933.0</v>
      </c>
      <c r="Y17" s="96" t="s">
        <v>146</v>
      </c>
      <c r="Z17" s="96" t="s">
        <v>117</v>
      </c>
      <c r="AA17" s="96">
        <v>963.0</v>
      </c>
      <c r="AB17" s="96">
        <v>50.0</v>
      </c>
      <c r="AC17" s="104"/>
      <c r="AD17" s="105"/>
    </row>
    <row r="18" ht="14.25" customHeight="1">
      <c r="A18" s="107" t="s">
        <v>103</v>
      </c>
      <c r="B18" s="116">
        <f t="shared" si="11"/>
        <v>3013</v>
      </c>
      <c r="C18" s="96">
        <v>0.0</v>
      </c>
      <c r="D18" s="97">
        <f t="shared" si="12"/>
        <v>0</v>
      </c>
      <c r="E18" s="65"/>
      <c r="F18" s="98" t="s">
        <v>108</v>
      </c>
      <c r="G18" s="12"/>
      <c r="H18" s="96" t="s">
        <v>108</v>
      </c>
      <c r="I18" s="89" t="str">
        <f t="shared" si="1"/>
        <v/>
      </c>
      <c r="J18" s="65"/>
      <c r="K18" s="95" t="s">
        <v>109</v>
      </c>
      <c r="L18" s="88">
        <v>54.0</v>
      </c>
      <c r="M18" s="132">
        <f t="shared" ref="M18:M28" si="13">N4</f>
        <v>46</v>
      </c>
      <c r="N18" s="132">
        <f t="shared" ref="N18:N22" si="14">P4</f>
        <v>41</v>
      </c>
      <c r="O18" s="132">
        <f t="shared" ref="O18:O21" si="15">countif($F$3:$F$25,K18)</f>
        <v>0</v>
      </c>
      <c r="P18" s="133"/>
      <c r="Q18" s="132">
        <f t="shared" ref="Q18:Q28" si="16">L18-M18+N18+O18+P18</f>
        <v>49</v>
      </c>
      <c r="R18" s="134">
        <v>49.0</v>
      </c>
      <c r="S18" s="135">
        <f t="shared" ref="S18:S28" si="17">R18-Q18</f>
        <v>0</v>
      </c>
      <c r="T18" s="127"/>
      <c r="U18" s="127"/>
      <c r="V18" s="127"/>
      <c r="W18" s="68"/>
      <c r="X18" s="98">
        <v>209934.0</v>
      </c>
      <c r="Y18" s="96" t="s">
        <v>147</v>
      </c>
      <c r="Z18" s="96" t="s">
        <v>106</v>
      </c>
      <c r="AA18" s="96">
        <v>963.0</v>
      </c>
      <c r="AB18" s="96">
        <v>50.0</v>
      </c>
      <c r="AC18" s="104"/>
      <c r="AD18" s="105"/>
    </row>
    <row r="19" ht="14.25" customHeight="1">
      <c r="A19" s="107" t="s">
        <v>104</v>
      </c>
      <c r="B19" s="116">
        <f t="shared" si="11"/>
        <v>3013</v>
      </c>
      <c r="C19" s="96">
        <v>0.0</v>
      </c>
      <c r="D19" s="97">
        <f t="shared" si="12"/>
        <v>0</v>
      </c>
      <c r="E19" s="65"/>
      <c r="F19" s="98" t="s">
        <v>108</v>
      </c>
      <c r="G19" s="12"/>
      <c r="H19" s="96" t="s">
        <v>108</v>
      </c>
      <c r="I19" s="89" t="str">
        <f t="shared" si="1"/>
        <v/>
      </c>
      <c r="J19" s="65"/>
      <c r="K19" s="107" t="s">
        <v>112</v>
      </c>
      <c r="L19" s="88">
        <v>16.0</v>
      </c>
      <c r="M19" s="136">
        <f t="shared" si="13"/>
        <v>7</v>
      </c>
      <c r="N19" s="136">
        <f t="shared" si="14"/>
        <v>1</v>
      </c>
      <c r="O19" s="132">
        <f t="shared" si="15"/>
        <v>0</v>
      </c>
      <c r="P19" s="137"/>
      <c r="Q19" s="132">
        <f t="shared" si="16"/>
        <v>10</v>
      </c>
      <c r="R19" s="138">
        <v>10.0</v>
      </c>
      <c r="S19" s="139">
        <f t="shared" si="17"/>
        <v>0</v>
      </c>
      <c r="T19" s="65"/>
      <c r="U19" s="65"/>
      <c r="V19" s="140"/>
      <c r="W19" s="68"/>
      <c r="X19" s="98">
        <v>209935.0</v>
      </c>
      <c r="Y19" s="96" t="s">
        <v>148</v>
      </c>
      <c r="Z19" s="96" t="s">
        <v>106</v>
      </c>
      <c r="AA19" s="96">
        <v>963.0</v>
      </c>
      <c r="AB19" s="96">
        <v>50.0</v>
      </c>
      <c r="AC19" s="104"/>
      <c r="AD19" s="105"/>
    </row>
    <row r="20" ht="14.25" customHeight="1">
      <c r="A20" s="107" t="s">
        <v>126</v>
      </c>
      <c r="B20" s="116">
        <f t="shared" si="11"/>
        <v>4738</v>
      </c>
      <c r="C20" s="96">
        <v>0.0</v>
      </c>
      <c r="D20" s="97">
        <f t="shared" si="12"/>
        <v>0</v>
      </c>
      <c r="E20" s="65"/>
      <c r="F20" s="98" t="s">
        <v>108</v>
      </c>
      <c r="G20" s="12"/>
      <c r="H20" s="96" t="s">
        <v>108</v>
      </c>
      <c r="I20" s="89" t="str">
        <f t="shared" si="1"/>
        <v/>
      </c>
      <c r="J20" s="65"/>
      <c r="K20" s="107" t="s">
        <v>115</v>
      </c>
      <c r="L20" s="88">
        <v>13.0</v>
      </c>
      <c r="M20" s="136">
        <f t="shared" si="13"/>
        <v>10</v>
      </c>
      <c r="N20" s="136">
        <f t="shared" si="14"/>
        <v>3</v>
      </c>
      <c r="O20" s="132">
        <f t="shared" si="15"/>
        <v>0</v>
      </c>
      <c r="P20" s="141"/>
      <c r="Q20" s="132">
        <f t="shared" si="16"/>
        <v>6</v>
      </c>
      <c r="R20" s="138">
        <v>6.0</v>
      </c>
      <c r="S20" s="139">
        <f t="shared" si="17"/>
        <v>0</v>
      </c>
      <c r="T20" s="65"/>
      <c r="U20" s="65"/>
      <c r="V20" s="140"/>
      <c r="W20" s="68"/>
      <c r="X20" s="98">
        <v>209936.0</v>
      </c>
      <c r="Y20" s="96" t="s">
        <v>149</v>
      </c>
      <c r="Z20" s="96" t="s">
        <v>150</v>
      </c>
      <c r="AA20" s="96">
        <v>13695.0</v>
      </c>
      <c r="AB20" s="96">
        <v>1500.0</v>
      </c>
      <c r="AC20" s="104"/>
      <c r="AD20" s="105"/>
    </row>
    <row r="21" ht="14.25" customHeight="1">
      <c r="A21" s="107" t="s">
        <v>129</v>
      </c>
      <c r="B21" s="116">
        <f t="shared" si="11"/>
        <v>4738</v>
      </c>
      <c r="C21" s="106">
        <v>0.0</v>
      </c>
      <c r="D21" s="97">
        <f t="shared" si="12"/>
        <v>0</v>
      </c>
      <c r="E21" s="65"/>
      <c r="F21" s="98" t="s">
        <v>108</v>
      </c>
      <c r="G21" s="12"/>
      <c r="H21" s="96" t="s">
        <v>108</v>
      </c>
      <c r="I21" s="89" t="str">
        <f t="shared" si="1"/>
        <v/>
      </c>
      <c r="J21" s="65"/>
      <c r="K21" s="107" t="s">
        <v>119</v>
      </c>
      <c r="L21" s="88">
        <v>27.0</v>
      </c>
      <c r="M21" s="136">
        <f t="shared" si="13"/>
        <v>14</v>
      </c>
      <c r="N21" s="136">
        <f t="shared" si="14"/>
        <v>13</v>
      </c>
      <c r="O21" s="132">
        <f t="shared" si="15"/>
        <v>0</v>
      </c>
      <c r="P21" s="137"/>
      <c r="Q21" s="132">
        <f t="shared" si="16"/>
        <v>26</v>
      </c>
      <c r="R21" s="138">
        <v>26.0</v>
      </c>
      <c r="S21" s="139">
        <f t="shared" si="17"/>
        <v>0</v>
      </c>
      <c r="T21" s="65"/>
      <c r="U21" s="65"/>
      <c r="V21" s="140"/>
      <c r="W21" s="68"/>
      <c r="X21" s="126"/>
      <c r="Y21" s="104"/>
      <c r="Z21" s="96" t="s">
        <v>151</v>
      </c>
      <c r="AA21" s="96">
        <v>13695.0</v>
      </c>
      <c r="AB21" s="96">
        <v>1500.0</v>
      </c>
      <c r="AC21" s="104"/>
      <c r="AD21" s="105"/>
    </row>
    <row r="22" ht="14.25" customHeight="1">
      <c r="A22" s="95" t="s">
        <v>132</v>
      </c>
      <c r="B22" s="116">
        <f t="shared" si="11"/>
        <v>5665</v>
      </c>
      <c r="C22" s="106">
        <v>0.0</v>
      </c>
      <c r="D22" s="97">
        <f t="shared" si="12"/>
        <v>0</v>
      </c>
      <c r="E22" s="65"/>
      <c r="F22" s="98" t="s">
        <v>108</v>
      </c>
      <c r="G22" s="12"/>
      <c r="H22" s="96" t="s">
        <v>108</v>
      </c>
      <c r="I22" s="89" t="str">
        <f t="shared" si="1"/>
        <v/>
      </c>
      <c r="J22" s="65"/>
      <c r="K22" s="107" t="s">
        <v>103</v>
      </c>
      <c r="L22" s="88">
        <v>133.0</v>
      </c>
      <c r="M22" s="136">
        <f t="shared" si="13"/>
        <v>72</v>
      </c>
      <c r="N22" s="136">
        <f t="shared" si="14"/>
        <v>95</v>
      </c>
      <c r="O22" s="142">
        <v>0.0</v>
      </c>
      <c r="P22" s="141">
        <v>1.0</v>
      </c>
      <c r="Q22" s="132">
        <f t="shared" si="16"/>
        <v>157</v>
      </c>
      <c r="R22" s="138">
        <v>157.0</v>
      </c>
      <c r="S22" s="139">
        <f t="shared" si="17"/>
        <v>0</v>
      </c>
      <c r="T22" s="65"/>
      <c r="U22" s="65"/>
      <c r="V22" s="140"/>
      <c r="W22" s="68"/>
      <c r="X22" s="98">
        <v>209937.0</v>
      </c>
      <c r="Y22" s="96" t="s">
        <v>152</v>
      </c>
      <c r="Z22" s="96" t="s">
        <v>153</v>
      </c>
      <c r="AA22" s="104"/>
      <c r="AB22" s="96">
        <v>400.0</v>
      </c>
      <c r="AC22" s="96">
        <v>4059.0</v>
      </c>
      <c r="AD22" s="105"/>
    </row>
    <row r="23" ht="14.25" customHeight="1">
      <c r="A23" s="107" t="s">
        <v>135</v>
      </c>
      <c r="B23" s="116">
        <f t="shared" si="11"/>
        <v>9459</v>
      </c>
      <c r="C23" s="106">
        <v>0.0</v>
      </c>
      <c r="D23" s="97">
        <f t="shared" si="12"/>
        <v>0</v>
      </c>
      <c r="E23" s="65"/>
      <c r="F23" s="98" t="s">
        <v>108</v>
      </c>
      <c r="G23" s="12"/>
      <c r="H23" s="96" t="s">
        <v>108</v>
      </c>
      <c r="I23" s="89" t="str">
        <f t="shared" si="1"/>
        <v/>
      </c>
      <c r="J23" s="65"/>
      <c r="K23" s="107" t="s">
        <v>104</v>
      </c>
      <c r="L23" s="88">
        <v>136.0</v>
      </c>
      <c r="M23" s="136">
        <f t="shared" si="13"/>
        <v>110</v>
      </c>
      <c r="N23" s="136">
        <f>C31</f>
        <v>96</v>
      </c>
      <c r="O23" s="132">
        <f t="shared" ref="O23:O28" si="18">countif($F$3:$F$25,K23)</f>
        <v>0</v>
      </c>
      <c r="P23" s="137"/>
      <c r="Q23" s="132">
        <f t="shared" si="16"/>
        <v>122</v>
      </c>
      <c r="R23" s="138">
        <v>122.0</v>
      </c>
      <c r="S23" s="139">
        <f t="shared" si="17"/>
        <v>0</v>
      </c>
      <c r="T23" s="65"/>
      <c r="U23" s="65"/>
      <c r="V23" s="140"/>
      <c r="W23" s="68"/>
      <c r="X23" s="143"/>
      <c r="Y23" s="137"/>
      <c r="Z23" s="141" t="s">
        <v>154</v>
      </c>
      <c r="AA23" s="137"/>
      <c r="AB23" s="141">
        <v>21.0</v>
      </c>
      <c r="AC23" s="141">
        <v>268.0</v>
      </c>
      <c r="AD23" s="144"/>
    </row>
    <row r="24" ht="14.25" customHeight="1">
      <c r="A24" s="107" t="s">
        <v>138</v>
      </c>
      <c r="B24" s="116">
        <f t="shared" si="11"/>
        <v>9459</v>
      </c>
      <c r="C24" s="106">
        <v>0.0</v>
      </c>
      <c r="D24" s="97">
        <f t="shared" si="12"/>
        <v>0</v>
      </c>
      <c r="E24" s="65"/>
      <c r="F24" s="98" t="s">
        <v>108</v>
      </c>
      <c r="G24" s="12"/>
      <c r="H24" s="96" t="s">
        <v>108</v>
      </c>
      <c r="I24" s="89" t="str">
        <f t="shared" si="1"/>
        <v/>
      </c>
      <c r="J24" s="65"/>
      <c r="K24" s="107" t="s">
        <v>126</v>
      </c>
      <c r="L24" s="88">
        <v>2.0</v>
      </c>
      <c r="M24" s="136" t="str">
        <f t="shared" si="13"/>
        <v/>
      </c>
      <c r="N24" s="136">
        <f t="shared" ref="N24:N28" si="19">P10</f>
        <v>0</v>
      </c>
      <c r="O24" s="132">
        <f t="shared" si="18"/>
        <v>0</v>
      </c>
      <c r="P24" s="137"/>
      <c r="Q24" s="132">
        <f t="shared" si="16"/>
        <v>2</v>
      </c>
      <c r="R24" s="138">
        <v>2.0</v>
      </c>
      <c r="S24" s="139">
        <f t="shared" si="17"/>
        <v>0</v>
      </c>
      <c r="T24" s="65"/>
      <c r="U24" s="65"/>
      <c r="V24" s="140"/>
      <c r="W24" s="68"/>
      <c r="X24" s="143"/>
      <c r="Y24" s="137"/>
      <c r="Z24" s="141" t="s">
        <v>155</v>
      </c>
      <c r="AA24" s="137"/>
      <c r="AB24" s="141">
        <v>375.0</v>
      </c>
      <c r="AC24" s="141">
        <v>4690.0</v>
      </c>
      <c r="AD24" s="144"/>
    </row>
    <row r="25" ht="14.25" customHeight="1">
      <c r="A25" s="114" t="s">
        <v>88</v>
      </c>
      <c r="B25" s="111"/>
      <c r="C25" s="112"/>
      <c r="D25" s="113"/>
      <c r="E25" s="65"/>
      <c r="F25" s="145" t="s">
        <v>108</v>
      </c>
      <c r="G25" s="25"/>
      <c r="H25" s="146" t="s">
        <v>108</v>
      </c>
      <c r="I25" s="89" t="str">
        <f t="shared" si="1"/>
        <v/>
      </c>
      <c r="J25" s="65"/>
      <c r="K25" s="107" t="s">
        <v>129</v>
      </c>
      <c r="L25" s="88">
        <v>58.0</v>
      </c>
      <c r="M25" s="136" t="str">
        <f t="shared" si="13"/>
        <v/>
      </c>
      <c r="N25" s="136">
        <f t="shared" si="19"/>
        <v>1</v>
      </c>
      <c r="O25" s="132">
        <f t="shared" si="18"/>
        <v>0</v>
      </c>
      <c r="P25" s="137"/>
      <c r="Q25" s="132">
        <f t="shared" si="16"/>
        <v>59</v>
      </c>
      <c r="R25" s="138">
        <v>59.0</v>
      </c>
      <c r="S25" s="139">
        <f t="shared" si="17"/>
        <v>0</v>
      </c>
      <c r="T25" s="65"/>
      <c r="U25" s="65"/>
      <c r="V25" s="140"/>
      <c r="W25" s="68"/>
      <c r="X25" s="143"/>
      <c r="Y25" s="147"/>
      <c r="Z25" s="148" t="s">
        <v>156</v>
      </c>
      <c r="AA25" s="147"/>
      <c r="AB25" s="148">
        <v>150.0</v>
      </c>
      <c r="AC25" s="148">
        <v>1876.0</v>
      </c>
      <c r="AD25" s="149"/>
    </row>
    <row r="26" ht="14.25" customHeight="1">
      <c r="A26" s="95" t="s">
        <v>109</v>
      </c>
      <c r="B26" s="16">
        <v>289.0</v>
      </c>
      <c r="C26" s="96">
        <v>41.0</v>
      </c>
      <c r="D26" s="97">
        <f t="shared" ref="D26:D36" si="20">C26*B26</f>
        <v>11849</v>
      </c>
      <c r="E26" s="65"/>
      <c r="F26" s="72" t="s">
        <v>80</v>
      </c>
      <c r="G26" s="67"/>
      <c r="H26" s="64"/>
      <c r="I26" s="150">
        <f>sum(I3:I25)</f>
        <v>0</v>
      </c>
      <c r="J26" s="65"/>
      <c r="K26" s="95" t="s">
        <v>132</v>
      </c>
      <c r="L26" s="88">
        <v>6.0</v>
      </c>
      <c r="M26" s="136">
        <f t="shared" si="13"/>
        <v>5</v>
      </c>
      <c r="N26" s="136">
        <f t="shared" si="19"/>
        <v>1</v>
      </c>
      <c r="O26" s="132">
        <f t="shared" si="18"/>
        <v>0</v>
      </c>
      <c r="P26" s="137"/>
      <c r="Q26" s="132">
        <f t="shared" si="16"/>
        <v>2</v>
      </c>
      <c r="R26" s="138">
        <v>2.0</v>
      </c>
      <c r="S26" s="139">
        <f t="shared" si="17"/>
        <v>0</v>
      </c>
      <c r="T26" s="65"/>
      <c r="U26" s="65"/>
      <c r="V26" s="140"/>
      <c r="W26" s="68"/>
      <c r="X26" s="151"/>
      <c r="Y26" s="147"/>
      <c r="Z26" s="148" t="s">
        <v>157</v>
      </c>
      <c r="AA26" s="147"/>
      <c r="AB26" s="148">
        <v>75.0</v>
      </c>
      <c r="AC26" s="148">
        <v>963.0</v>
      </c>
      <c r="AD26" s="149"/>
    </row>
    <row r="27" ht="14.25" customHeight="1">
      <c r="A27" s="107" t="s">
        <v>112</v>
      </c>
      <c r="B27" s="16">
        <v>289.0</v>
      </c>
      <c r="C27" s="96">
        <v>1.0</v>
      </c>
      <c r="D27" s="97">
        <f t="shared" si="20"/>
        <v>289</v>
      </c>
      <c r="E27" s="65"/>
      <c r="F27" s="65"/>
      <c r="G27" s="65"/>
      <c r="H27" s="65"/>
      <c r="I27" s="65"/>
      <c r="J27" s="65"/>
      <c r="K27" s="107" t="s">
        <v>135</v>
      </c>
      <c r="L27" s="88">
        <v>23.0</v>
      </c>
      <c r="M27" s="136" t="str">
        <f t="shared" si="13"/>
        <v/>
      </c>
      <c r="N27" s="136">
        <f t="shared" si="19"/>
        <v>0</v>
      </c>
      <c r="O27" s="132">
        <f t="shared" si="18"/>
        <v>0</v>
      </c>
      <c r="P27" s="137"/>
      <c r="Q27" s="132">
        <f t="shared" si="16"/>
        <v>23</v>
      </c>
      <c r="R27" s="138">
        <v>23.0</v>
      </c>
      <c r="S27" s="139">
        <f t="shared" si="17"/>
        <v>0</v>
      </c>
      <c r="T27" s="65"/>
      <c r="U27" s="65"/>
      <c r="V27" s="140"/>
      <c r="W27" s="68"/>
      <c r="X27" s="152">
        <v>209938.0</v>
      </c>
      <c r="Y27" s="148" t="s">
        <v>158</v>
      </c>
      <c r="Z27" s="148" t="s">
        <v>159</v>
      </c>
      <c r="AA27" s="147"/>
      <c r="AB27" s="148">
        <v>400.0</v>
      </c>
      <c r="AC27" s="148">
        <v>4059.0</v>
      </c>
      <c r="AD27" s="149"/>
    </row>
    <row r="28" ht="14.25" customHeight="1">
      <c r="A28" s="107" t="s">
        <v>115</v>
      </c>
      <c r="B28" s="16">
        <v>688.0</v>
      </c>
      <c r="C28" s="96">
        <v>3.0</v>
      </c>
      <c r="D28" s="97">
        <f t="shared" si="20"/>
        <v>2064</v>
      </c>
      <c r="E28" s="65"/>
      <c r="F28" s="65"/>
      <c r="G28" s="65"/>
      <c r="H28" s="65"/>
      <c r="I28" s="65"/>
      <c r="J28" s="65"/>
      <c r="K28" s="117" t="s">
        <v>138</v>
      </c>
      <c r="L28" s="153">
        <v>19.0</v>
      </c>
      <c r="M28" s="154">
        <f t="shared" si="13"/>
        <v>5</v>
      </c>
      <c r="N28" s="154">
        <f t="shared" si="19"/>
        <v>2</v>
      </c>
      <c r="O28" s="155">
        <f t="shared" si="18"/>
        <v>0</v>
      </c>
      <c r="P28" s="156"/>
      <c r="Q28" s="155">
        <f t="shared" si="16"/>
        <v>16</v>
      </c>
      <c r="R28" s="157">
        <v>16.0</v>
      </c>
      <c r="S28" s="158">
        <f t="shared" si="17"/>
        <v>0</v>
      </c>
      <c r="T28" s="65"/>
      <c r="U28" s="65"/>
      <c r="V28" s="140"/>
      <c r="W28" s="68"/>
      <c r="X28" s="151"/>
      <c r="Y28" s="147"/>
      <c r="Z28" s="148" t="s">
        <v>160</v>
      </c>
      <c r="AA28" s="147"/>
      <c r="AB28" s="148">
        <v>300.0</v>
      </c>
      <c r="AC28" s="148">
        <v>2590.0</v>
      </c>
      <c r="AD28" s="149"/>
    </row>
    <row r="29" ht="14.25" customHeight="1">
      <c r="A29" s="107" t="s">
        <v>119</v>
      </c>
      <c r="B29" s="16">
        <v>688.0</v>
      </c>
      <c r="C29" s="96">
        <v>13.0</v>
      </c>
      <c r="D29" s="97">
        <f t="shared" si="20"/>
        <v>8944</v>
      </c>
      <c r="E29" s="65"/>
      <c r="F29" s="65"/>
      <c r="G29" s="65"/>
      <c r="H29" s="65"/>
      <c r="I29" s="65"/>
      <c r="J29" s="65"/>
      <c r="K29" s="127"/>
      <c r="L29" s="127"/>
      <c r="M29" s="127"/>
      <c r="N29" s="127"/>
      <c r="O29" s="127"/>
      <c r="P29" s="127"/>
      <c r="Q29" s="65"/>
      <c r="R29" s="65"/>
      <c r="S29" s="65"/>
      <c r="T29" s="65"/>
      <c r="U29" s="65"/>
      <c r="V29" s="140"/>
      <c r="W29" s="68"/>
      <c r="X29" s="151"/>
      <c r="Y29" s="147"/>
      <c r="Z29" s="148" t="s">
        <v>161</v>
      </c>
      <c r="AA29" s="147"/>
      <c r="AB29" s="148">
        <v>42.0</v>
      </c>
      <c r="AC29" s="148">
        <v>1334.0</v>
      </c>
      <c r="AD29" s="149"/>
    </row>
    <row r="30" ht="14.25" customHeight="1">
      <c r="A30" s="107" t="s">
        <v>103</v>
      </c>
      <c r="B30" s="16">
        <v>1013.0</v>
      </c>
      <c r="C30" s="96">
        <v>95.0</v>
      </c>
      <c r="D30" s="97">
        <f t="shared" si="20"/>
        <v>96235</v>
      </c>
      <c r="E30" s="65"/>
      <c r="F30" s="65"/>
      <c r="G30" s="65"/>
      <c r="H30" s="65"/>
      <c r="I30" s="65"/>
      <c r="J30" s="65"/>
      <c r="K30" s="127"/>
      <c r="L30" s="127"/>
      <c r="M30" s="127"/>
      <c r="N30" s="127"/>
      <c r="O30" s="127"/>
      <c r="P30" s="127"/>
      <c r="Q30" s="65"/>
      <c r="R30" s="65"/>
      <c r="S30" s="65"/>
      <c r="T30" s="65"/>
      <c r="U30" s="65"/>
      <c r="V30" s="140"/>
      <c r="W30" s="68"/>
      <c r="X30" s="151"/>
      <c r="Y30" s="147"/>
      <c r="Z30" s="148" t="s">
        <v>162</v>
      </c>
      <c r="AA30" s="147"/>
      <c r="AB30" s="148">
        <v>750.0</v>
      </c>
      <c r="AC30" s="148">
        <v>9380.0</v>
      </c>
      <c r="AD30" s="149"/>
    </row>
    <row r="31" ht="14.25" customHeight="1">
      <c r="A31" s="107" t="s">
        <v>104</v>
      </c>
      <c r="B31" s="16">
        <v>1013.0</v>
      </c>
      <c r="C31" s="96">
        <v>96.0</v>
      </c>
      <c r="D31" s="97">
        <f t="shared" si="20"/>
        <v>97248</v>
      </c>
      <c r="E31" s="65"/>
      <c r="F31" s="65"/>
      <c r="G31" s="65"/>
      <c r="H31" s="65"/>
      <c r="I31" s="65"/>
      <c r="J31" s="65"/>
      <c r="K31" s="75" t="s">
        <v>163</v>
      </c>
      <c r="L31" s="76" t="s">
        <v>85</v>
      </c>
      <c r="M31" s="77" t="s">
        <v>164</v>
      </c>
      <c r="N31" s="159" t="s">
        <v>79</v>
      </c>
      <c r="O31" s="78" t="s">
        <v>165</v>
      </c>
      <c r="P31" s="79" t="s">
        <v>92</v>
      </c>
      <c r="Q31" s="79" t="s">
        <v>93</v>
      </c>
      <c r="R31" s="160" t="s">
        <v>94</v>
      </c>
      <c r="S31" s="65"/>
      <c r="T31" s="65"/>
      <c r="U31" s="65"/>
      <c r="V31" s="140"/>
      <c r="W31" s="68"/>
      <c r="X31" s="151"/>
      <c r="Y31" s="147"/>
      <c r="Z31" s="148" t="s">
        <v>166</v>
      </c>
      <c r="AA31" s="147"/>
      <c r="AB31" s="148">
        <v>750.0</v>
      </c>
      <c r="AC31" s="148">
        <v>9380.0</v>
      </c>
      <c r="AD31" s="149"/>
    </row>
    <row r="32" ht="14.25" customHeight="1">
      <c r="A32" s="107" t="s">
        <v>126</v>
      </c>
      <c r="B32" s="16">
        <v>1038.0</v>
      </c>
      <c r="C32" s="106">
        <v>0.0</v>
      </c>
      <c r="D32" s="97">
        <f t="shared" si="20"/>
        <v>0</v>
      </c>
      <c r="E32" s="65"/>
      <c r="F32" s="65"/>
      <c r="G32" s="65"/>
      <c r="H32" s="65"/>
      <c r="I32" s="65"/>
      <c r="J32" s="65"/>
      <c r="K32" s="161" t="s">
        <v>102</v>
      </c>
      <c r="L32" s="162"/>
      <c r="M32" s="163"/>
      <c r="N32" s="164"/>
      <c r="O32" s="163"/>
      <c r="P32" s="163"/>
      <c r="Q32" s="163"/>
      <c r="R32" s="165"/>
      <c r="S32" s="166"/>
      <c r="T32" s="166"/>
      <c r="U32" s="166"/>
      <c r="V32" s="167"/>
      <c r="W32" s="68"/>
      <c r="X32" s="152">
        <v>209939.0</v>
      </c>
      <c r="Y32" s="148" t="s">
        <v>167</v>
      </c>
      <c r="Z32" s="148" t="s">
        <v>109</v>
      </c>
      <c r="AA32" s="148">
        <v>280.0</v>
      </c>
      <c r="AB32" s="148">
        <v>9.0</v>
      </c>
      <c r="AC32" s="147"/>
      <c r="AD32" s="149"/>
    </row>
    <row r="33" ht="14.25" customHeight="1">
      <c r="A33" s="107" t="s">
        <v>129</v>
      </c>
      <c r="B33" s="16">
        <v>1038.0</v>
      </c>
      <c r="C33" s="96">
        <v>1.0</v>
      </c>
      <c r="D33" s="97">
        <f t="shared" si="20"/>
        <v>1038</v>
      </c>
      <c r="E33" s="65"/>
      <c r="F33" s="65"/>
      <c r="G33" s="65"/>
      <c r="H33" s="65"/>
      <c r="I33" s="65"/>
      <c r="J33" s="65"/>
      <c r="K33" s="95" t="s">
        <v>107</v>
      </c>
      <c r="L33" s="96">
        <v>0.0</v>
      </c>
      <c r="M33" s="108">
        <v>0.0</v>
      </c>
      <c r="N33" s="136">
        <f t="shared" ref="N33:N34" si="21">C4</f>
        <v>0</v>
      </c>
      <c r="O33" s="168"/>
      <c r="P33" s="169">
        <f t="shared" ref="P33:P34" si="22">L33+M33-N33-O33</f>
        <v>0</v>
      </c>
      <c r="Q33" s="170">
        <v>0.0</v>
      </c>
      <c r="R33" s="171">
        <f t="shared" ref="R33:R34" si="23">Q33-P33</f>
        <v>0</v>
      </c>
      <c r="S33" s="166"/>
      <c r="T33" s="166"/>
      <c r="U33" s="166"/>
      <c r="V33" s="167"/>
      <c r="W33" s="68"/>
      <c r="X33" s="152">
        <v>209940.0</v>
      </c>
      <c r="Y33" s="148" t="s">
        <v>168</v>
      </c>
      <c r="Z33" s="148" t="s">
        <v>162</v>
      </c>
      <c r="AA33" s="147"/>
      <c r="AB33" s="148">
        <v>750.0</v>
      </c>
      <c r="AC33" s="148">
        <v>9380.0</v>
      </c>
      <c r="AD33" s="149"/>
    </row>
    <row r="34" ht="15.75" customHeight="1">
      <c r="A34" s="95" t="s">
        <v>132</v>
      </c>
      <c r="B34" s="16">
        <v>1965.0</v>
      </c>
      <c r="C34" s="96">
        <v>1.0</v>
      </c>
      <c r="D34" s="97">
        <f t="shared" si="20"/>
        <v>1965</v>
      </c>
      <c r="E34" s="65"/>
      <c r="F34" s="65"/>
      <c r="G34" s="65"/>
      <c r="H34" s="65"/>
      <c r="I34" s="65"/>
      <c r="J34" s="65"/>
      <c r="K34" s="95" t="s">
        <v>111</v>
      </c>
      <c r="L34" s="96">
        <v>12.0</v>
      </c>
      <c r="M34" s="108">
        <v>0.0</v>
      </c>
      <c r="N34" s="136">
        <f t="shared" si="21"/>
        <v>0</v>
      </c>
      <c r="O34" s="168"/>
      <c r="P34" s="169">
        <f t="shared" si="22"/>
        <v>12</v>
      </c>
      <c r="Q34" s="170">
        <v>12.0</v>
      </c>
      <c r="R34" s="171">
        <f t="shared" si="23"/>
        <v>0</v>
      </c>
      <c r="S34" s="166"/>
      <c r="T34" s="166"/>
      <c r="U34" s="172"/>
      <c r="V34" s="167"/>
      <c r="W34" s="68"/>
      <c r="X34" s="151"/>
      <c r="Y34" s="147"/>
      <c r="Z34" s="148" t="s">
        <v>169</v>
      </c>
      <c r="AA34" s="147"/>
      <c r="AB34" s="148">
        <v>525.0</v>
      </c>
      <c r="AC34" s="148">
        <v>6566.0</v>
      </c>
      <c r="AD34" s="149"/>
    </row>
    <row r="35" ht="15.75" customHeight="1">
      <c r="A35" s="107" t="s">
        <v>135</v>
      </c>
      <c r="B35" s="16">
        <v>4459.0</v>
      </c>
      <c r="C35" s="106">
        <v>0.0</v>
      </c>
      <c r="D35" s="97">
        <f t="shared" si="20"/>
        <v>0</v>
      </c>
      <c r="E35" s="65"/>
      <c r="F35" s="65"/>
      <c r="G35" s="65"/>
      <c r="H35" s="65"/>
      <c r="I35" s="65"/>
      <c r="J35" s="65"/>
      <c r="K35" s="110" t="s">
        <v>114</v>
      </c>
      <c r="L35" s="173"/>
      <c r="M35" s="112"/>
      <c r="N35" s="174"/>
      <c r="O35" s="112"/>
      <c r="P35" s="112"/>
      <c r="Q35" s="112"/>
      <c r="R35" s="175"/>
      <c r="S35" s="166"/>
      <c r="T35" s="166"/>
      <c r="U35" s="166"/>
      <c r="V35" s="167"/>
      <c r="W35" s="68"/>
      <c r="X35" s="151"/>
      <c r="Y35" s="147"/>
      <c r="Z35" s="148" t="s">
        <v>170</v>
      </c>
      <c r="AA35" s="147"/>
      <c r="AB35" s="148">
        <v>120.0</v>
      </c>
      <c r="AC35" s="148">
        <v>1036.0</v>
      </c>
      <c r="AD35" s="149"/>
    </row>
    <row r="36" ht="15.75" customHeight="1">
      <c r="A36" s="107" t="s">
        <v>138</v>
      </c>
      <c r="B36" s="16">
        <v>4459.0</v>
      </c>
      <c r="C36" s="96">
        <v>2.0</v>
      </c>
      <c r="D36" s="97">
        <f t="shared" si="20"/>
        <v>8918</v>
      </c>
      <c r="E36" s="65"/>
      <c r="F36" s="65"/>
      <c r="G36" s="65"/>
      <c r="H36" s="65"/>
      <c r="I36" s="65"/>
      <c r="J36" s="65"/>
      <c r="K36" s="95" t="s">
        <v>118</v>
      </c>
      <c r="L36" s="96">
        <v>18.0</v>
      </c>
      <c r="M36" s="108">
        <v>0.0</v>
      </c>
      <c r="N36" s="136">
        <f t="shared" ref="N36:N41" si="24">C7</f>
        <v>0</v>
      </c>
      <c r="O36" s="168"/>
      <c r="P36" s="169">
        <f t="shared" ref="P36:P41" si="25">L36+M36-N36-O36</f>
        <v>18</v>
      </c>
      <c r="Q36" s="170">
        <v>18.0</v>
      </c>
      <c r="R36" s="171">
        <f t="shared" ref="R36:R41" si="26">Q36-P36</f>
        <v>0</v>
      </c>
      <c r="S36" s="166"/>
      <c r="T36" s="166"/>
      <c r="U36" s="166"/>
      <c r="V36" s="167"/>
      <c r="W36" s="68"/>
      <c r="X36" s="152">
        <v>209941.0</v>
      </c>
      <c r="Y36" s="148" t="s">
        <v>171</v>
      </c>
      <c r="Z36" s="148" t="s">
        <v>172</v>
      </c>
      <c r="AA36" s="148">
        <v>963.0</v>
      </c>
      <c r="AB36" s="148">
        <v>50.0</v>
      </c>
      <c r="AC36" s="147"/>
      <c r="AD36" s="149"/>
    </row>
    <row r="37" ht="15.75" customHeight="1">
      <c r="A37" s="114" t="s">
        <v>173</v>
      </c>
      <c r="B37" s="111"/>
      <c r="C37" s="112"/>
      <c r="D37" s="113"/>
      <c r="E37" s="65"/>
      <c r="F37" s="65"/>
      <c r="G37" s="65"/>
      <c r="H37" s="65"/>
      <c r="I37" s="65"/>
      <c r="J37" s="65"/>
      <c r="K37" s="95" t="s">
        <v>121</v>
      </c>
      <c r="L37" s="96">
        <v>4.0</v>
      </c>
      <c r="M37" s="108">
        <v>0.0</v>
      </c>
      <c r="N37" s="136">
        <f t="shared" si="24"/>
        <v>1</v>
      </c>
      <c r="O37" s="168"/>
      <c r="P37" s="169">
        <f t="shared" si="25"/>
        <v>3</v>
      </c>
      <c r="Q37" s="170">
        <v>3.0</v>
      </c>
      <c r="R37" s="171">
        <f t="shared" si="26"/>
        <v>0</v>
      </c>
      <c r="S37" s="166"/>
      <c r="T37" s="166"/>
      <c r="U37" s="166"/>
      <c r="V37" s="167"/>
      <c r="W37" s="68"/>
      <c r="X37" s="152">
        <v>209942.0</v>
      </c>
      <c r="Y37" s="148" t="s">
        <v>174</v>
      </c>
      <c r="Z37" s="148" t="s">
        <v>172</v>
      </c>
      <c r="AA37" s="148">
        <v>963.0</v>
      </c>
      <c r="AB37" s="148">
        <v>50.0</v>
      </c>
      <c r="AC37" s="147"/>
      <c r="AD37" s="149"/>
    </row>
    <row r="38" ht="15.75" customHeight="1">
      <c r="A38" s="95" t="s">
        <v>109</v>
      </c>
      <c r="B38" s="176">
        <f t="shared" ref="B38:B48" si="27">B26</f>
        <v>289</v>
      </c>
      <c r="C38" s="106">
        <v>0.0</v>
      </c>
      <c r="D38" s="97">
        <f t="shared" ref="D38:D48" si="28">C38*B38</f>
        <v>0</v>
      </c>
      <c r="E38" s="65"/>
      <c r="F38" s="65"/>
      <c r="G38" s="65"/>
      <c r="H38" s="65"/>
      <c r="I38" s="65"/>
      <c r="J38" s="65"/>
      <c r="K38" s="95" t="s">
        <v>123</v>
      </c>
      <c r="L38" s="96">
        <v>86.0</v>
      </c>
      <c r="M38" s="108">
        <v>0.0</v>
      </c>
      <c r="N38" s="136">
        <f t="shared" si="24"/>
        <v>1</v>
      </c>
      <c r="O38" s="168"/>
      <c r="P38" s="169">
        <f t="shared" si="25"/>
        <v>85</v>
      </c>
      <c r="Q38" s="170">
        <v>85.0</v>
      </c>
      <c r="R38" s="171">
        <f t="shared" si="26"/>
        <v>0</v>
      </c>
      <c r="S38" s="166"/>
      <c r="T38" s="166"/>
      <c r="U38" s="166"/>
      <c r="V38" s="167"/>
      <c r="W38" s="68"/>
      <c r="X38" s="152">
        <v>209943.0</v>
      </c>
      <c r="Y38" s="148" t="s">
        <v>175</v>
      </c>
      <c r="Z38" s="148" t="s">
        <v>156</v>
      </c>
      <c r="AA38" s="148">
        <v>1976.0</v>
      </c>
      <c r="AB38" s="148">
        <v>50.0</v>
      </c>
      <c r="AC38" s="147"/>
      <c r="AD38" s="149"/>
    </row>
    <row r="39" ht="15.75" customHeight="1">
      <c r="A39" s="107" t="s">
        <v>112</v>
      </c>
      <c r="B39" s="176">
        <f t="shared" si="27"/>
        <v>289</v>
      </c>
      <c r="C39" s="96">
        <v>0.0</v>
      </c>
      <c r="D39" s="97">
        <f t="shared" si="28"/>
        <v>0</v>
      </c>
      <c r="E39" s="65"/>
      <c r="F39" s="65"/>
      <c r="G39" s="65"/>
      <c r="H39" s="65"/>
      <c r="I39" s="65"/>
      <c r="J39" s="65"/>
      <c r="K39" s="95" t="s">
        <v>125</v>
      </c>
      <c r="L39" s="96">
        <v>0.0</v>
      </c>
      <c r="M39" s="108">
        <v>0.0</v>
      </c>
      <c r="N39" s="136">
        <f t="shared" si="24"/>
        <v>0</v>
      </c>
      <c r="O39" s="168"/>
      <c r="P39" s="169">
        <f t="shared" si="25"/>
        <v>0</v>
      </c>
      <c r="Q39" s="170">
        <v>0.0</v>
      </c>
      <c r="R39" s="171">
        <f t="shared" si="26"/>
        <v>0</v>
      </c>
      <c r="S39" s="166"/>
      <c r="T39" s="166"/>
      <c r="U39" s="166"/>
      <c r="V39" s="167"/>
      <c r="W39" s="68"/>
      <c r="X39" s="98">
        <v>209944.0</v>
      </c>
      <c r="Y39" s="96" t="s">
        <v>133</v>
      </c>
      <c r="Z39" s="96" t="s">
        <v>154</v>
      </c>
      <c r="AA39" s="96">
        <v>268.0</v>
      </c>
      <c r="AB39" s="96">
        <v>21.0</v>
      </c>
      <c r="AC39" s="104"/>
      <c r="AD39" s="105"/>
    </row>
    <row r="40" ht="15.75" customHeight="1">
      <c r="A40" s="107" t="s">
        <v>115</v>
      </c>
      <c r="B40" s="176">
        <f t="shared" si="27"/>
        <v>688</v>
      </c>
      <c r="C40" s="96">
        <v>0.0</v>
      </c>
      <c r="D40" s="97">
        <f t="shared" si="28"/>
        <v>0</v>
      </c>
      <c r="E40" s="65"/>
      <c r="F40" s="65"/>
      <c r="G40" s="65"/>
      <c r="H40" s="65"/>
      <c r="I40" s="65"/>
      <c r="J40" s="65"/>
      <c r="K40" s="95" t="s">
        <v>128</v>
      </c>
      <c r="L40" s="96">
        <v>0.0</v>
      </c>
      <c r="M40" s="108">
        <v>0.0</v>
      </c>
      <c r="N40" s="136">
        <f t="shared" si="24"/>
        <v>0</v>
      </c>
      <c r="O40" s="168"/>
      <c r="P40" s="169">
        <f t="shared" si="25"/>
        <v>0</v>
      </c>
      <c r="Q40" s="170">
        <v>0.0</v>
      </c>
      <c r="R40" s="171">
        <f t="shared" si="26"/>
        <v>0</v>
      </c>
      <c r="S40" s="166"/>
      <c r="T40" s="166"/>
      <c r="U40" s="166"/>
      <c r="V40" s="167"/>
      <c r="W40" s="68"/>
      <c r="X40" s="177">
        <v>209945.0</v>
      </c>
      <c r="Y40" s="141" t="s">
        <v>176</v>
      </c>
      <c r="Z40" s="141" t="s">
        <v>172</v>
      </c>
      <c r="AA40" s="141">
        <v>938.0</v>
      </c>
      <c r="AB40" s="141">
        <v>75.0</v>
      </c>
      <c r="AC40" s="137"/>
      <c r="AD40" s="144"/>
    </row>
    <row r="41" ht="15.75" customHeight="1">
      <c r="A41" s="107" t="s">
        <v>119</v>
      </c>
      <c r="B41" s="176">
        <f t="shared" si="27"/>
        <v>688</v>
      </c>
      <c r="C41" s="96">
        <v>0.0</v>
      </c>
      <c r="D41" s="97">
        <f t="shared" si="28"/>
        <v>0</v>
      </c>
      <c r="E41" s="65"/>
      <c r="F41" s="65"/>
      <c r="G41" s="65"/>
      <c r="H41" s="65"/>
      <c r="I41" s="65"/>
      <c r="J41" s="65"/>
      <c r="K41" s="117" t="s">
        <v>177</v>
      </c>
      <c r="L41" s="118">
        <v>4.0</v>
      </c>
      <c r="M41" s="119">
        <v>0.0</v>
      </c>
      <c r="N41" s="154">
        <f t="shared" si="24"/>
        <v>1</v>
      </c>
      <c r="O41" s="178"/>
      <c r="P41" s="179">
        <f t="shared" si="25"/>
        <v>3</v>
      </c>
      <c r="Q41" s="180">
        <v>3.0</v>
      </c>
      <c r="R41" s="181">
        <f t="shared" si="26"/>
        <v>0</v>
      </c>
      <c r="S41" s="166"/>
      <c r="T41" s="166"/>
      <c r="U41" s="166"/>
      <c r="V41" s="167"/>
      <c r="W41" s="68"/>
      <c r="X41" s="152">
        <v>209946.0</v>
      </c>
      <c r="Y41" s="148" t="s">
        <v>178</v>
      </c>
      <c r="Z41" s="148" t="s">
        <v>179</v>
      </c>
      <c r="AA41" s="148">
        <v>688.0</v>
      </c>
      <c r="AB41" s="147"/>
      <c r="AC41" s="147"/>
      <c r="AD41" s="149"/>
    </row>
    <row r="42" ht="15.75" customHeight="1">
      <c r="A42" s="107" t="s">
        <v>103</v>
      </c>
      <c r="B42" s="176">
        <f t="shared" si="27"/>
        <v>1013</v>
      </c>
      <c r="C42" s="96">
        <v>0.0</v>
      </c>
      <c r="D42" s="97">
        <f t="shared" si="28"/>
        <v>0</v>
      </c>
      <c r="E42" s="65"/>
      <c r="F42" s="65"/>
      <c r="G42" s="65"/>
      <c r="H42" s="65"/>
      <c r="I42" s="65"/>
      <c r="J42" s="65"/>
      <c r="R42" s="166"/>
      <c r="S42" s="166"/>
      <c r="T42" s="166"/>
      <c r="U42" s="166"/>
      <c r="V42" s="167"/>
      <c r="W42" s="68"/>
      <c r="X42" s="152">
        <v>209947.0</v>
      </c>
      <c r="Y42" s="148" t="s">
        <v>180</v>
      </c>
      <c r="Z42" s="148" t="s">
        <v>181</v>
      </c>
      <c r="AA42" s="148">
        <v>963.0</v>
      </c>
      <c r="AB42" s="148">
        <v>50.0</v>
      </c>
      <c r="AC42" s="147"/>
      <c r="AD42" s="149"/>
    </row>
    <row r="43" ht="15.75" customHeight="1">
      <c r="A43" s="107" t="s">
        <v>104</v>
      </c>
      <c r="B43" s="176">
        <f t="shared" si="27"/>
        <v>1013</v>
      </c>
      <c r="C43" s="96">
        <v>0.0</v>
      </c>
      <c r="D43" s="97">
        <f t="shared" si="28"/>
        <v>0</v>
      </c>
      <c r="E43" s="65"/>
      <c r="F43" s="65"/>
      <c r="G43" s="65"/>
      <c r="H43" s="65"/>
      <c r="I43" s="65"/>
      <c r="J43" s="65"/>
      <c r="R43" s="166"/>
      <c r="S43" s="166"/>
      <c r="T43" s="166"/>
      <c r="U43" s="166"/>
      <c r="V43" s="167"/>
      <c r="W43" s="68"/>
      <c r="X43" s="177">
        <v>209948.0</v>
      </c>
      <c r="Y43" s="141" t="s">
        <v>149</v>
      </c>
      <c r="Z43" s="141" t="s">
        <v>160</v>
      </c>
      <c r="AA43" s="141">
        <v>2680.0</v>
      </c>
      <c r="AB43" s="141">
        <v>210.0</v>
      </c>
      <c r="AC43" s="137"/>
      <c r="AD43" s="144"/>
    </row>
    <row r="44" ht="15.75" customHeight="1">
      <c r="A44" s="107" t="s">
        <v>126</v>
      </c>
      <c r="B44" s="176">
        <f t="shared" si="27"/>
        <v>1038</v>
      </c>
      <c r="C44" s="106">
        <v>0.0</v>
      </c>
      <c r="D44" s="97">
        <f t="shared" si="28"/>
        <v>0</v>
      </c>
      <c r="E44" s="65"/>
      <c r="F44" s="65"/>
      <c r="G44" s="65"/>
      <c r="H44" s="65"/>
      <c r="I44" s="65"/>
      <c r="J44" s="65"/>
      <c r="K44" s="128" t="s">
        <v>182</v>
      </c>
      <c r="L44" s="72" t="s">
        <v>85</v>
      </c>
      <c r="M44" s="72" t="s">
        <v>92</v>
      </c>
      <c r="N44" s="130" t="s">
        <v>94</v>
      </c>
      <c r="O44" s="182" t="s">
        <v>183</v>
      </c>
      <c r="Q44" s="65"/>
      <c r="R44" s="166"/>
      <c r="S44" s="183"/>
      <c r="T44" s="183"/>
      <c r="U44" s="183"/>
      <c r="V44" s="184"/>
      <c r="W44" s="68"/>
      <c r="X44" s="151"/>
      <c r="Y44" s="147"/>
      <c r="Z44" s="148" t="s">
        <v>184</v>
      </c>
      <c r="AA44" s="148">
        <v>2668.0</v>
      </c>
      <c r="AB44" s="148">
        <v>84.0</v>
      </c>
      <c r="AC44" s="147"/>
      <c r="AD44" s="149"/>
    </row>
    <row r="45" ht="15.75" customHeight="1">
      <c r="A45" s="107"/>
      <c r="B45" s="176">
        <f t="shared" si="27"/>
        <v>1038</v>
      </c>
      <c r="C45" s="106">
        <v>0.0</v>
      </c>
      <c r="D45" s="97">
        <f t="shared" si="28"/>
        <v>0</v>
      </c>
      <c r="E45" s="65"/>
      <c r="F45" s="65"/>
      <c r="G45" s="65"/>
      <c r="H45" s="65"/>
      <c r="I45" s="65"/>
      <c r="J45" s="65"/>
      <c r="K45" s="185" t="s">
        <v>109</v>
      </c>
      <c r="L45" s="101">
        <f t="shared" ref="L45:L55" si="29">L4+L18</f>
        <v>69</v>
      </c>
      <c r="M45" s="132">
        <f t="shared" ref="M45:M55" si="30">T4+Q18</f>
        <v>67</v>
      </c>
      <c r="N45" s="132">
        <f t="shared" ref="N45:N55" si="31">M45-L45</f>
        <v>-2</v>
      </c>
      <c r="O45" s="186" t="s">
        <v>185</v>
      </c>
      <c r="Q45" s="65"/>
      <c r="R45" s="183"/>
      <c r="S45" s="187"/>
      <c r="T45" s="187"/>
      <c r="U45" s="187"/>
      <c r="V45" s="188"/>
      <c r="W45" s="68"/>
      <c r="X45" s="151"/>
      <c r="Y45" s="147"/>
      <c r="Z45" s="148" t="s">
        <v>186</v>
      </c>
      <c r="AA45" s="148">
        <v>667.0</v>
      </c>
      <c r="AB45" s="148">
        <v>21.0</v>
      </c>
      <c r="AC45" s="148"/>
      <c r="AD45" s="149"/>
    </row>
    <row r="46" ht="15.75" customHeight="1">
      <c r="A46" s="95" t="s">
        <v>132</v>
      </c>
      <c r="B46" s="176">
        <f t="shared" si="27"/>
        <v>1965</v>
      </c>
      <c r="C46" s="106">
        <v>0.0</v>
      </c>
      <c r="D46" s="97">
        <f t="shared" si="28"/>
        <v>0</v>
      </c>
      <c r="E46" s="68"/>
      <c r="F46" s="68"/>
      <c r="G46" s="68"/>
      <c r="H46" s="68"/>
      <c r="I46" s="68"/>
      <c r="J46" s="68"/>
      <c r="K46" s="96" t="s">
        <v>112</v>
      </c>
      <c r="L46" s="189">
        <f t="shared" si="29"/>
        <v>18</v>
      </c>
      <c r="M46" s="136">
        <f t="shared" si="30"/>
        <v>18</v>
      </c>
      <c r="N46" s="136">
        <f t="shared" si="31"/>
        <v>0</v>
      </c>
      <c r="O46" s="40"/>
      <c r="Q46" s="166"/>
      <c r="R46" s="187"/>
      <c r="S46" s="187"/>
      <c r="T46" s="187"/>
      <c r="U46" s="187"/>
      <c r="V46" s="188"/>
      <c r="W46" s="68"/>
      <c r="X46" s="152">
        <v>209949.0</v>
      </c>
      <c r="Y46" s="148" t="s">
        <v>187</v>
      </c>
      <c r="Z46" s="148" t="s">
        <v>181</v>
      </c>
      <c r="AA46" s="148">
        <v>988.0</v>
      </c>
      <c r="AB46" s="148">
        <v>25.0</v>
      </c>
      <c r="AC46" s="147"/>
      <c r="AD46" s="149"/>
    </row>
    <row r="47" ht="15.75" customHeight="1">
      <c r="A47" s="107" t="s">
        <v>135</v>
      </c>
      <c r="B47" s="176">
        <f t="shared" si="27"/>
        <v>4459</v>
      </c>
      <c r="C47" s="106">
        <v>0.0</v>
      </c>
      <c r="D47" s="97">
        <f t="shared" si="28"/>
        <v>0</v>
      </c>
      <c r="E47" s="68"/>
      <c r="F47" s="68"/>
      <c r="G47" s="68"/>
      <c r="H47" s="68"/>
      <c r="I47" s="68"/>
      <c r="J47" s="68"/>
      <c r="K47" s="106" t="s">
        <v>188</v>
      </c>
      <c r="L47" s="189">
        <f t="shared" si="29"/>
        <v>19</v>
      </c>
      <c r="M47" s="136">
        <f t="shared" si="30"/>
        <v>19</v>
      </c>
      <c r="N47" s="136">
        <f t="shared" si="31"/>
        <v>0</v>
      </c>
      <c r="O47" s="40"/>
      <c r="Q47" s="166"/>
      <c r="R47" s="187"/>
      <c r="S47" s="187"/>
      <c r="T47" s="187"/>
      <c r="U47" s="187"/>
      <c r="V47" s="188"/>
      <c r="W47" s="68"/>
      <c r="X47" s="152">
        <v>209950.0</v>
      </c>
      <c r="Y47" s="148" t="s">
        <v>136</v>
      </c>
      <c r="Z47" s="148" t="s">
        <v>189</v>
      </c>
      <c r="AA47" s="147"/>
      <c r="AB47" s="147"/>
      <c r="AC47" s="148">
        <v>3039.0</v>
      </c>
      <c r="AD47" s="149"/>
    </row>
    <row r="48" ht="15.75" customHeight="1">
      <c r="A48" s="107" t="s">
        <v>138</v>
      </c>
      <c r="B48" s="190">
        <f t="shared" si="27"/>
        <v>4459</v>
      </c>
      <c r="C48" s="191">
        <v>0.0</v>
      </c>
      <c r="D48" s="97">
        <f t="shared" si="28"/>
        <v>0</v>
      </c>
      <c r="E48" s="68"/>
      <c r="F48" s="68"/>
      <c r="G48" s="68"/>
      <c r="H48" s="68"/>
      <c r="I48" s="68"/>
      <c r="J48" s="68"/>
      <c r="K48" s="106" t="s">
        <v>190</v>
      </c>
      <c r="L48" s="189">
        <f t="shared" si="29"/>
        <v>31</v>
      </c>
      <c r="M48" s="136">
        <f t="shared" si="30"/>
        <v>31</v>
      </c>
      <c r="N48" s="136">
        <f t="shared" si="31"/>
        <v>0</v>
      </c>
      <c r="O48" s="40"/>
      <c r="Q48" s="166"/>
      <c r="R48" s="187"/>
      <c r="S48" s="187"/>
      <c r="T48" s="187"/>
      <c r="U48" s="187"/>
      <c r="V48" s="188"/>
      <c r="W48" s="68"/>
      <c r="X48" s="151"/>
      <c r="Y48" s="147"/>
      <c r="Z48" s="148" t="s">
        <v>172</v>
      </c>
      <c r="AA48" s="147"/>
      <c r="AB48" s="147"/>
      <c r="AC48" s="148">
        <v>1013.0</v>
      </c>
      <c r="AD48" s="149"/>
    </row>
    <row r="49" ht="15.75" customHeight="1">
      <c r="A49" s="128" t="s">
        <v>80</v>
      </c>
      <c r="B49" s="192"/>
      <c r="C49" s="64"/>
      <c r="D49" s="193">
        <f>sum(D4:D48)</f>
        <v>228900</v>
      </c>
      <c r="E49" s="68"/>
      <c r="F49" s="68"/>
      <c r="G49" s="68"/>
      <c r="H49" s="68"/>
      <c r="I49" s="68"/>
      <c r="J49" s="68"/>
      <c r="K49" s="106" t="s">
        <v>191</v>
      </c>
      <c r="L49" s="189">
        <f t="shared" si="29"/>
        <v>172</v>
      </c>
      <c r="M49" s="136">
        <f t="shared" si="30"/>
        <v>164</v>
      </c>
      <c r="N49" s="136">
        <f t="shared" si="31"/>
        <v>-8</v>
      </c>
      <c r="O49" s="14" t="s">
        <v>192</v>
      </c>
      <c r="Q49" s="166"/>
      <c r="R49" s="187"/>
      <c r="S49" s="187"/>
      <c r="T49" s="187"/>
      <c r="U49" s="187"/>
      <c r="V49" s="188"/>
      <c r="W49" s="68"/>
      <c r="X49" s="152">
        <v>207851.0</v>
      </c>
      <c r="Y49" s="148" t="s">
        <v>193</v>
      </c>
      <c r="Z49" s="148" t="s">
        <v>181</v>
      </c>
      <c r="AA49" s="148">
        <v>963.0</v>
      </c>
      <c r="AB49" s="148">
        <v>50.0</v>
      </c>
      <c r="AC49" s="147"/>
      <c r="AD49" s="149"/>
    </row>
    <row r="50" ht="15.75" customHeight="1">
      <c r="A50" s="194"/>
      <c r="B50" s="54"/>
      <c r="C50" s="65"/>
      <c r="D50" s="59"/>
      <c r="E50" s="68"/>
      <c r="F50" s="68"/>
      <c r="G50" s="68"/>
      <c r="H50" s="68"/>
      <c r="I50" s="68"/>
      <c r="J50" s="68"/>
      <c r="K50" s="106" t="s">
        <v>194</v>
      </c>
      <c r="L50" s="189">
        <f t="shared" si="29"/>
        <v>153</v>
      </c>
      <c r="M50" s="136">
        <f t="shared" si="30"/>
        <v>148</v>
      </c>
      <c r="N50" s="136">
        <f t="shared" si="31"/>
        <v>-5</v>
      </c>
      <c r="O50" s="14" t="s">
        <v>192</v>
      </c>
      <c r="Q50" s="166"/>
      <c r="R50" s="187"/>
      <c r="S50" s="187"/>
      <c r="T50" s="187"/>
      <c r="U50" s="187"/>
      <c r="V50" s="188"/>
      <c r="W50" s="68"/>
      <c r="X50" s="152">
        <v>207852.0</v>
      </c>
      <c r="Y50" s="148" t="s">
        <v>195</v>
      </c>
      <c r="Z50" s="148" t="s">
        <v>196</v>
      </c>
      <c r="AA50" s="148">
        <v>1789.0</v>
      </c>
      <c r="AB50" s="148">
        <v>176.0</v>
      </c>
      <c r="AC50" s="147"/>
      <c r="AD50" s="149"/>
    </row>
    <row r="51" ht="15.75" customHeight="1">
      <c r="A51" s="195"/>
      <c r="B51" s="196"/>
      <c r="C51" s="127"/>
      <c r="D51" s="59"/>
      <c r="E51" s="68"/>
      <c r="F51" s="68"/>
      <c r="G51" s="68"/>
      <c r="H51" s="68"/>
      <c r="I51" s="68"/>
      <c r="J51" s="68"/>
      <c r="K51" s="106" t="s">
        <v>197</v>
      </c>
      <c r="L51" s="189">
        <f t="shared" si="29"/>
        <v>10</v>
      </c>
      <c r="M51" s="136">
        <f t="shared" si="30"/>
        <v>10</v>
      </c>
      <c r="N51" s="136">
        <f t="shared" si="31"/>
        <v>0</v>
      </c>
      <c r="O51" s="40"/>
      <c r="Q51" s="166"/>
      <c r="R51" s="187"/>
      <c r="S51" s="187"/>
      <c r="T51" s="187"/>
      <c r="U51" s="187"/>
      <c r="V51" s="188"/>
      <c r="W51" s="68"/>
      <c r="X51" s="152">
        <v>207853.0</v>
      </c>
      <c r="Y51" s="148" t="s">
        <v>198</v>
      </c>
      <c r="Z51" s="148" t="s">
        <v>156</v>
      </c>
      <c r="AA51" s="148">
        <v>1876.0</v>
      </c>
      <c r="AB51" s="148">
        <v>150.0</v>
      </c>
      <c r="AC51" s="147"/>
      <c r="AD51" s="149"/>
    </row>
    <row r="52" ht="15.75" customHeight="1">
      <c r="A52" s="197" t="s">
        <v>199</v>
      </c>
      <c r="B52" s="71" t="s">
        <v>200</v>
      </c>
      <c r="C52" s="65"/>
      <c r="D52" s="59"/>
      <c r="E52" s="68"/>
      <c r="F52" s="68"/>
      <c r="G52" s="68"/>
      <c r="H52" s="68"/>
      <c r="I52" s="68"/>
      <c r="J52" s="68"/>
      <c r="K52" s="106" t="s">
        <v>201</v>
      </c>
      <c r="L52" s="189">
        <f t="shared" si="29"/>
        <v>75</v>
      </c>
      <c r="M52" s="136">
        <f t="shared" si="30"/>
        <v>75</v>
      </c>
      <c r="N52" s="136">
        <f t="shared" si="31"/>
        <v>0</v>
      </c>
      <c r="O52" s="40"/>
      <c r="Q52" s="166"/>
      <c r="R52" s="187"/>
      <c r="S52" s="187"/>
      <c r="T52" s="187"/>
      <c r="U52" s="187"/>
      <c r="V52" s="188"/>
      <c r="W52" s="68"/>
      <c r="X52" s="152">
        <v>207854.0</v>
      </c>
      <c r="Y52" s="148" t="s">
        <v>202</v>
      </c>
      <c r="Z52" s="148" t="s">
        <v>181</v>
      </c>
      <c r="AA52" s="148">
        <v>963.0</v>
      </c>
      <c r="AB52" s="148">
        <v>50.0</v>
      </c>
      <c r="AC52" s="147"/>
      <c r="AD52" s="149"/>
    </row>
    <row r="53" ht="15.75" customHeight="1">
      <c r="A53" s="95" t="s">
        <v>109</v>
      </c>
      <c r="B53" s="198">
        <v>1200.0</v>
      </c>
      <c r="C53" s="127"/>
      <c r="D53" s="59"/>
      <c r="K53" s="106" t="s">
        <v>132</v>
      </c>
      <c r="L53" s="189">
        <f t="shared" si="29"/>
        <v>6</v>
      </c>
      <c r="M53" s="136">
        <f t="shared" si="30"/>
        <v>6</v>
      </c>
      <c r="N53" s="136">
        <f t="shared" si="31"/>
        <v>0</v>
      </c>
      <c r="O53" s="40"/>
      <c r="Q53" s="166"/>
      <c r="R53" s="187"/>
      <c r="S53" s="187"/>
      <c r="T53" s="187"/>
      <c r="U53" s="187"/>
      <c r="V53" s="188"/>
      <c r="X53" s="177">
        <v>207855.0</v>
      </c>
      <c r="Y53" s="141" t="s">
        <v>203</v>
      </c>
      <c r="Z53" s="141" t="s">
        <v>156</v>
      </c>
      <c r="AA53" s="141">
        <v>1876.0</v>
      </c>
      <c r="AB53" s="141">
        <v>150.0</v>
      </c>
      <c r="AC53" s="137"/>
      <c r="AD53" s="144"/>
    </row>
    <row r="54" ht="15.75" customHeight="1">
      <c r="A54" s="107" t="s">
        <v>112</v>
      </c>
      <c r="B54" s="199">
        <v>1200.0</v>
      </c>
      <c r="C54" s="127"/>
      <c r="D54" s="200"/>
      <c r="K54" s="106" t="s">
        <v>204</v>
      </c>
      <c r="L54" s="189">
        <f t="shared" si="29"/>
        <v>23</v>
      </c>
      <c r="M54" s="136">
        <f t="shared" si="30"/>
        <v>23</v>
      </c>
      <c r="N54" s="136">
        <f t="shared" si="31"/>
        <v>0</v>
      </c>
      <c r="O54" s="40"/>
      <c r="Q54" s="166"/>
      <c r="R54" s="187"/>
      <c r="S54" s="187"/>
      <c r="T54" s="187"/>
      <c r="U54" s="187"/>
      <c r="V54" s="188"/>
      <c r="X54" s="143"/>
      <c r="Y54" s="137"/>
      <c r="Z54" s="141" t="s">
        <v>205</v>
      </c>
      <c r="AA54" s="141">
        <v>1876.0</v>
      </c>
      <c r="AB54" s="141">
        <v>150.0</v>
      </c>
      <c r="AC54" s="137"/>
      <c r="AD54" s="144"/>
    </row>
    <row r="55" ht="15.75" customHeight="1">
      <c r="A55" s="107" t="s">
        <v>115</v>
      </c>
      <c r="B55" s="199">
        <v>1900.0</v>
      </c>
      <c r="C55" s="127"/>
      <c r="D55" s="196"/>
      <c r="K55" s="106" t="s">
        <v>206</v>
      </c>
      <c r="L55" s="189">
        <f t="shared" si="29"/>
        <v>21</v>
      </c>
      <c r="M55" s="136">
        <f t="shared" si="30"/>
        <v>21</v>
      </c>
      <c r="N55" s="136">
        <f t="shared" si="31"/>
        <v>0</v>
      </c>
      <c r="O55" s="40"/>
      <c r="Q55" s="166"/>
      <c r="R55" s="187"/>
      <c r="S55" s="187"/>
      <c r="T55" s="187"/>
      <c r="U55" s="187"/>
      <c r="V55" s="188"/>
      <c r="X55" s="177">
        <v>207856.0</v>
      </c>
      <c r="Y55" s="141" t="s">
        <v>207</v>
      </c>
      <c r="Z55" s="141" t="s">
        <v>205</v>
      </c>
      <c r="AA55" s="141">
        <v>1876.0</v>
      </c>
      <c r="AB55" s="141">
        <v>150.0</v>
      </c>
      <c r="AC55" s="137"/>
      <c r="AD55" s="144"/>
    </row>
    <row r="56" ht="15.75" customHeight="1">
      <c r="A56" s="107" t="s">
        <v>119</v>
      </c>
      <c r="B56" s="199">
        <v>1900.0</v>
      </c>
      <c r="C56" s="127"/>
      <c r="D56" s="196"/>
      <c r="E56" s="65"/>
      <c r="F56" s="65"/>
      <c r="G56" s="65"/>
      <c r="H56" s="65"/>
      <c r="I56" s="65"/>
      <c r="J56" s="65"/>
      <c r="K56" s="166"/>
      <c r="L56" s="201"/>
      <c r="Q56" s="166"/>
      <c r="R56" s="187"/>
      <c r="S56" s="187"/>
      <c r="T56" s="187"/>
      <c r="U56" s="187"/>
      <c r="V56" s="188"/>
      <c r="X56" s="143"/>
      <c r="Y56" s="137"/>
      <c r="Z56" s="141" t="s">
        <v>156</v>
      </c>
      <c r="AA56" s="141">
        <v>1876.0</v>
      </c>
      <c r="AB56" s="141">
        <v>150.0</v>
      </c>
      <c r="AC56" s="137"/>
      <c r="AD56" s="144"/>
    </row>
    <row r="57" ht="15.75" customHeight="1">
      <c r="A57" s="107" t="s">
        <v>103</v>
      </c>
      <c r="B57" s="199">
        <v>2000.0</v>
      </c>
      <c r="C57" s="127"/>
      <c r="D57" s="196"/>
      <c r="E57" s="65"/>
      <c r="F57" s="65"/>
      <c r="G57" s="65"/>
      <c r="H57" s="65"/>
      <c r="I57" s="65"/>
      <c r="J57" s="65"/>
      <c r="K57" s="166"/>
      <c r="L57" s="202"/>
      <c r="M57" s="166"/>
      <c r="N57" s="166"/>
      <c r="O57" s="166"/>
      <c r="P57" s="166"/>
      <c r="Q57" s="183"/>
      <c r="R57" s="187"/>
      <c r="S57" s="187"/>
      <c r="T57" s="187"/>
      <c r="U57" s="187"/>
      <c r="V57" s="188"/>
      <c r="X57" s="177">
        <v>207857.0</v>
      </c>
      <c r="Y57" s="141" t="s">
        <v>208</v>
      </c>
      <c r="Z57" s="141" t="s">
        <v>156</v>
      </c>
      <c r="AA57" s="141">
        <v>1876.0</v>
      </c>
      <c r="AB57" s="141">
        <v>150.0</v>
      </c>
      <c r="AC57" s="137"/>
      <c r="AD57" s="144"/>
    </row>
    <row r="58" ht="15.75" customHeight="1">
      <c r="A58" s="107" t="s">
        <v>104</v>
      </c>
      <c r="B58" s="199">
        <v>2000.0</v>
      </c>
      <c r="C58" s="127"/>
      <c r="D58" s="196"/>
      <c r="E58" s="65"/>
      <c r="F58" s="65"/>
      <c r="G58" s="65"/>
      <c r="H58" s="65"/>
      <c r="I58" s="65"/>
      <c r="J58" s="65"/>
      <c r="K58" s="128" t="s">
        <v>90</v>
      </c>
      <c r="L58" s="72" t="s">
        <v>85</v>
      </c>
      <c r="M58" s="128" t="s">
        <v>90</v>
      </c>
      <c r="N58" s="72" t="s">
        <v>145</v>
      </c>
      <c r="O58" s="72" t="s">
        <v>92</v>
      </c>
      <c r="P58" s="187"/>
      <c r="Q58" s="187"/>
      <c r="R58" s="187"/>
      <c r="S58" s="187"/>
      <c r="T58" s="187"/>
      <c r="U58" s="187"/>
      <c r="V58" s="188"/>
      <c r="X58" s="143"/>
      <c r="Y58" s="137"/>
      <c r="Z58" s="141" t="s">
        <v>205</v>
      </c>
      <c r="AA58" s="141">
        <v>1876.0</v>
      </c>
      <c r="AB58" s="141">
        <v>150.0</v>
      </c>
      <c r="AC58" s="137"/>
      <c r="AD58" s="144"/>
    </row>
    <row r="59" ht="15.75" customHeight="1">
      <c r="A59" s="107" t="s">
        <v>126</v>
      </c>
      <c r="B59" s="199">
        <v>3700.0</v>
      </c>
      <c r="C59" s="127"/>
      <c r="D59" s="196"/>
      <c r="E59" s="65"/>
      <c r="F59" s="65"/>
      <c r="G59" s="65"/>
      <c r="H59" s="65"/>
      <c r="I59" s="65"/>
      <c r="J59" s="65"/>
      <c r="K59" s="203" t="s">
        <v>109</v>
      </c>
      <c r="L59" s="88"/>
      <c r="M59" s="132">
        <f t="shared" ref="M59:M69" si="32">R4</f>
        <v>0</v>
      </c>
      <c r="N59" s="132" t="str">
        <f t="shared" ref="N59:N69" si="33">P18</f>
        <v/>
      </c>
      <c r="O59" s="135">
        <f t="shared" ref="O59:O69" si="34">L59+M59-N59</f>
        <v>0</v>
      </c>
      <c r="P59" s="187"/>
      <c r="Q59" s="187"/>
      <c r="R59" s="187"/>
      <c r="X59" s="177">
        <v>207858.0</v>
      </c>
      <c r="Y59" s="141" t="s">
        <v>209</v>
      </c>
      <c r="Z59" s="141" t="s">
        <v>154</v>
      </c>
      <c r="AA59" s="141">
        <v>280.0</v>
      </c>
      <c r="AB59" s="141">
        <v>9.0</v>
      </c>
      <c r="AC59" s="137"/>
      <c r="AD59" s="144"/>
    </row>
    <row r="60" ht="15.75" customHeight="1">
      <c r="A60" s="107" t="s">
        <v>129</v>
      </c>
      <c r="B60" s="199">
        <v>3700.0</v>
      </c>
      <c r="C60" s="127"/>
      <c r="D60" s="196"/>
      <c r="E60" s="65"/>
      <c r="F60" s="65"/>
      <c r="G60" s="65"/>
      <c r="H60" s="65"/>
      <c r="I60" s="65"/>
      <c r="J60" s="65"/>
      <c r="K60" s="98" t="s">
        <v>112</v>
      </c>
      <c r="L60" s="88"/>
      <c r="M60" s="136">
        <f t="shared" si="32"/>
        <v>0</v>
      </c>
      <c r="N60" s="136" t="str">
        <f t="shared" si="33"/>
        <v/>
      </c>
      <c r="O60" s="139">
        <f t="shared" si="34"/>
        <v>0</v>
      </c>
      <c r="P60" s="187"/>
      <c r="Q60" s="187"/>
      <c r="X60" s="177">
        <v>207859.0</v>
      </c>
      <c r="Y60" s="141" t="s">
        <v>210</v>
      </c>
      <c r="Z60" s="141" t="s">
        <v>189</v>
      </c>
      <c r="AA60" s="141">
        <v>2814.0</v>
      </c>
      <c r="AB60" s="141">
        <v>225.0</v>
      </c>
      <c r="AC60" s="137"/>
      <c r="AD60" s="144"/>
    </row>
    <row r="61" ht="15.75" customHeight="1">
      <c r="A61" s="95" t="s">
        <v>132</v>
      </c>
      <c r="B61" s="199">
        <v>3700.0</v>
      </c>
      <c r="C61" s="127"/>
      <c r="D61" s="59"/>
      <c r="E61" s="65"/>
      <c r="F61" s="65"/>
      <c r="G61" s="65"/>
      <c r="H61" s="65"/>
      <c r="I61" s="65"/>
      <c r="J61" s="65"/>
      <c r="K61" s="204" t="s">
        <v>188</v>
      </c>
      <c r="L61" s="88"/>
      <c r="M61" s="136">
        <f t="shared" si="32"/>
        <v>0</v>
      </c>
      <c r="N61" s="136" t="str">
        <f t="shared" si="33"/>
        <v/>
      </c>
      <c r="O61" s="139">
        <f t="shared" si="34"/>
        <v>0</v>
      </c>
      <c r="P61" s="187"/>
      <c r="Q61" s="187"/>
      <c r="X61" s="177">
        <v>207860.0</v>
      </c>
      <c r="Y61" s="141" t="s">
        <v>211</v>
      </c>
      <c r="Z61" s="141" t="s">
        <v>212</v>
      </c>
      <c r="AA61" s="141">
        <v>804.0</v>
      </c>
      <c r="AB61" s="141">
        <v>63.0</v>
      </c>
      <c r="AC61" s="137"/>
      <c r="AD61" s="144"/>
    </row>
    <row r="62" ht="15.75" customHeight="1">
      <c r="A62" s="107" t="s">
        <v>135</v>
      </c>
      <c r="B62" s="199">
        <v>5000.0</v>
      </c>
      <c r="C62" s="127"/>
      <c r="D62" s="59"/>
      <c r="E62" s="65"/>
      <c r="F62" s="65"/>
      <c r="G62" s="65"/>
      <c r="H62" s="65"/>
      <c r="I62" s="65"/>
      <c r="J62" s="65"/>
      <c r="K62" s="204" t="s">
        <v>190</v>
      </c>
      <c r="L62" s="88"/>
      <c r="M62" s="136">
        <f t="shared" si="32"/>
        <v>0</v>
      </c>
      <c r="N62" s="136" t="str">
        <f t="shared" si="33"/>
        <v/>
      </c>
      <c r="O62" s="139">
        <f t="shared" si="34"/>
        <v>0</v>
      </c>
      <c r="P62" s="187"/>
      <c r="Q62" s="187"/>
      <c r="X62" s="143"/>
      <c r="Y62" s="141"/>
      <c r="Z62" s="141" t="s">
        <v>213</v>
      </c>
      <c r="AA62" s="141">
        <v>4540.0</v>
      </c>
      <c r="AB62" s="141">
        <v>525.0</v>
      </c>
      <c r="AC62" s="137"/>
      <c r="AD62" s="144"/>
    </row>
    <row r="63" ht="15.75" customHeight="1">
      <c r="A63" s="117" t="s">
        <v>138</v>
      </c>
      <c r="B63" s="205">
        <v>5000.0</v>
      </c>
      <c r="C63" s="127"/>
      <c r="D63" s="59"/>
      <c r="E63" s="65"/>
      <c r="F63" s="65"/>
      <c r="G63" s="65"/>
      <c r="H63" s="65"/>
      <c r="I63" s="65"/>
      <c r="J63" s="65"/>
      <c r="K63" s="204" t="s">
        <v>191</v>
      </c>
      <c r="L63" s="88"/>
      <c r="M63" s="136">
        <f t="shared" si="32"/>
        <v>0</v>
      </c>
      <c r="N63" s="136">
        <f t="shared" si="33"/>
        <v>1</v>
      </c>
      <c r="O63" s="139">
        <f t="shared" si="34"/>
        <v>-1</v>
      </c>
      <c r="P63" s="187"/>
      <c r="Q63" s="187"/>
      <c r="X63" s="143"/>
      <c r="Y63" s="137"/>
      <c r="Z63" s="141" t="s">
        <v>155</v>
      </c>
      <c r="AA63" s="141">
        <v>4540.0</v>
      </c>
      <c r="AB63" s="141">
        <v>525.0</v>
      </c>
      <c r="AC63" s="137"/>
      <c r="AD63" s="144"/>
    </row>
    <row r="64" ht="15.75" customHeight="1">
      <c r="A64" s="195"/>
      <c r="B64" s="206"/>
      <c r="C64" s="207"/>
      <c r="D64" s="59"/>
      <c r="E64" s="65"/>
      <c r="F64" s="65"/>
      <c r="G64" s="65"/>
      <c r="H64" s="65"/>
      <c r="I64" s="65"/>
      <c r="J64" s="65"/>
      <c r="K64" s="204" t="s">
        <v>194</v>
      </c>
      <c r="L64" s="88"/>
      <c r="M64" s="136">
        <f t="shared" si="32"/>
        <v>0</v>
      </c>
      <c r="N64" s="136" t="str">
        <f t="shared" si="33"/>
        <v/>
      </c>
      <c r="O64" s="139">
        <f t="shared" si="34"/>
        <v>0</v>
      </c>
      <c r="P64" s="187"/>
      <c r="Q64" s="187"/>
      <c r="X64" s="177">
        <v>207861.0</v>
      </c>
      <c r="Y64" s="141" t="s">
        <v>214</v>
      </c>
      <c r="Z64" s="141" t="s">
        <v>189</v>
      </c>
      <c r="AA64" s="141">
        <v>2769.0</v>
      </c>
      <c r="AB64" s="141">
        <v>270.0</v>
      </c>
      <c r="AC64" s="137"/>
      <c r="AD64" s="144"/>
    </row>
    <row r="65" ht="15.75" customHeight="1">
      <c r="A65" s="195"/>
      <c r="B65" s="206"/>
      <c r="C65" s="207"/>
      <c r="D65" s="206"/>
      <c r="E65" s="65"/>
      <c r="F65" s="65"/>
      <c r="G65" s="65"/>
      <c r="H65" s="65"/>
      <c r="I65" s="65"/>
      <c r="J65" s="65"/>
      <c r="K65" s="204" t="s">
        <v>197</v>
      </c>
      <c r="L65" s="88"/>
      <c r="M65" s="136">
        <f t="shared" si="32"/>
        <v>0</v>
      </c>
      <c r="N65" s="136" t="str">
        <f t="shared" si="33"/>
        <v/>
      </c>
      <c r="O65" s="139">
        <f t="shared" si="34"/>
        <v>0</v>
      </c>
      <c r="P65" s="187"/>
      <c r="Q65" s="187"/>
      <c r="X65" s="143"/>
      <c r="Y65" s="137"/>
      <c r="Z65" s="141" t="s">
        <v>213</v>
      </c>
      <c r="AA65" s="141">
        <v>4615.0</v>
      </c>
      <c r="AB65" s="141">
        <v>450.0</v>
      </c>
      <c r="AC65" s="137"/>
      <c r="AD65" s="144"/>
    </row>
    <row r="66" ht="15.75" customHeight="1">
      <c r="A66" s="195"/>
      <c r="B66" s="206"/>
      <c r="C66" s="207"/>
      <c r="D66" s="206"/>
      <c r="E66" s="208"/>
      <c r="F66" s="208"/>
      <c r="G66" s="208"/>
      <c r="H66" s="208"/>
      <c r="I66" s="208"/>
      <c r="J66" s="208"/>
      <c r="K66" s="204" t="s">
        <v>201</v>
      </c>
      <c r="L66" s="88"/>
      <c r="M66" s="136">
        <f t="shared" si="32"/>
        <v>0</v>
      </c>
      <c r="N66" s="136" t="str">
        <f t="shared" si="33"/>
        <v/>
      </c>
      <c r="O66" s="139">
        <f t="shared" si="34"/>
        <v>0</v>
      </c>
      <c r="P66" s="187"/>
      <c r="Q66" s="187"/>
      <c r="X66" s="143"/>
      <c r="Y66" s="137"/>
      <c r="Z66" s="141" t="s">
        <v>161</v>
      </c>
      <c r="AA66" s="141">
        <v>1334.0</v>
      </c>
      <c r="AB66" s="141">
        <v>42.0</v>
      </c>
      <c r="AC66" s="137"/>
      <c r="AD66" s="144"/>
    </row>
    <row r="67" ht="15.75" customHeight="1">
      <c r="A67" s="195"/>
      <c r="B67" s="206"/>
      <c r="C67" s="207"/>
      <c r="D67" s="206"/>
      <c r="E67" s="65"/>
      <c r="F67" s="65"/>
      <c r="G67" s="65"/>
      <c r="H67" s="65"/>
      <c r="I67" s="65"/>
      <c r="J67" s="65"/>
      <c r="K67" s="204" t="s">
        <v>132</v>
      </c>
      <c r="L67" s="88"/>
      <c r="M67" s="136">
        <f t="shared" si="32"/>
        <v>0</v>
      </c>
      <c r="N67" s="136" t="str">
        <f t="shared" si="33"/>
        <v/>
      </c>
      <c r="O67" s="139">
        <f t="shared" si="34"/>
        <v>0</v>
      </c>
      <c r="P67" s="187"/>
      <c r="Q67" s="187"/>
      <c r="X67" s="143"/>
      <c r="Y67" s="137"/>
      <c r="Z67" s="141" t="s">
        <v>212</v>
      </c>
      <c r="AA67" s="141">
        <v>804.0</v>
      </c>
      <c r="AB67" s="141">
        <v>63.0</v>
      </c>
      <c r="AC67" s="137"/>
      <c r="AD67" s="144"/>
    </row>
    <row r="68" ht="15.75" customHeight="1">
      <c r="A68" s="195"/>
      <c r="B68" s="206"/>
      <c r="C68" s="207"/>
      <c r="D68" s="206"/>
      <c r="E68" s="65"/>
      <c r="F68" s="65"/>
      <c r="G68" s="65"/>
      <c r="H68" s="65"/>
      <c r="I68" s="65"/>
      <c r="J68" s="65"/>
      <c r="K68" s="204" t="s">
        <v>204</v>
      </c>
      <c r="L68" s="88"/>
      <c r="M68" s="136">
        <f t="shared" si="32"/>
        <v>0</v>
      </c>
      <c r="N68" s="136" t="str">
        <f t="shared" si="33"/>
        <v/>
      </c>
      <c r="O68" s="139">
        <f t="shared" si="34"/>
        <v>0</v>
      </c>
      <c r="P68" s="187"/>
      <c r="Q68" s="187"/>
      <c r="S68" s="187"/>
      <c r="T68" s="187"/>
      <c r="U68" s="187"/>
      <c r="V68" s="188"/>
      <c r="X68" s="177">
        <v>207862.0</v>
      </c>
      <c r="Y68" s="141" t="s">
        <v>215</v>
      </c>
      <c r="Z68" s="141" t="s">
        <v>172</v>
      </c>
      <c r="AA68" s="141">
        <v>963.0</v>
      </c>
      <c r="AB68" s="141">
        <v>50.0</v>
      </c>
      <c r="AC68" s="137"/>
      <c r="AD68" s="144"/>
    </row>
    <row r="69" ht="15.75" customHeight="1">
      <c r="A69" s="195"/>
      <c r="B69" s="206"/>
      <c r="C69" s="207"/>
      <c r="D69" s="206"/>
      <c r="E69" s="65"/>
      <c r="F69" s="65"/>
      <c r="G69" s="65"/>
      <c r="H69" s="65"/>
      <c r="I69" s="65"/>
      <c r="J69" s="65"/>
      <c r="K69" s="209" t="s">
        <v>206</v>
      </c>
      <c r="L69" s="153"/>
      <c r="M69" s="154">
        <f t="shared" si="32"/>
        <v>0</v>
      </c>
      <c r="N69" s="154" t="str">
        <f t="shared" si="33"/>
        <v/>
      </c>
      <c r="O69" s="158">
        <f t="shared" si="34"/>
        <v>0</v>
      </c>
      <c r="P69" s="187"/>
      <c r="Q69" s="187"/>
      <c r="R69" s="187"/>
      <c r="S69" s="187"/>
      <c r="T69" s="187"/>
      <c r="U69" s="187"/>
      <c r="V69" s="188"/>
      <c r="X69" s="177">
        <v>207863.0</v>
      </c>
      <c r="Y69" s="141" t="s">
        <v>136</v>
      </c>
      <c r="Z69" s="141" t="s">
        <v>156</v>
      </c>
      <c r="AA69" s="137"/>
      <c r="AB69" s="137"/>
      <c r="AC69" s="141">
        <v>2026.0</v>
      </c>
      <c r="AD69" s="144"/>
    </row>
    <row r="70" ht="15.75" customHeight="1">
      <c r="A70" s="195"/>
      <c r="B70" s="206"/>
      <c r="C70" s="207"/>
      <c r="D70" s="206"/>
      <c r="E70" s="65"/>
      <c r="F70" s="65"/>
      <c r="G70" s="65"/>
      <c r="H70" s="65"/>
      <c r="I70" s="65"/>
      <c r="J70" s="65"/>
      <c r="K70" s="65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8"/>
      <c r="X70" s="177">
        <v>207864.0</v>
      </c>
      <c r="Y70" s="141" t="s">
        <v>140</v>
      </c>
      <c r="Z70" s="141" t="s">
        <v>213</v>
      </c>
      <c r="AA70" s="137"/>
      <c r="AB70" s="137"/>
      <c r="AC70" s="141">
        <v>5065.0</v>
      </c>
      <c r="AD70" s="144"/>
    </row>
    <row r="71" ht="15.75" customHeight="1">
      <c r="A71" s="195"/>
      <c r="B71" s="206"/>
      <c r="C71" s="207"/>
      <c r="D71" s="206"/>
      <c r="E71" s="65"/>
      <c r="F71" s="65"/>
      <c r="G71" s="65"/>
      <c r="H71" s="65"/>
      <c r="I71" s="65"/>
      <c r="J71" s="65"/>
      <c r="R71" s="187"/>
      <c r="S71" s="187"/>
      <c r="T71" s="187"/>
      <c r="U71" s="187"/>
      <c r="V71" s="188"/>
      <c r="X71" s="143"/>
      <c r="Y71" s="137"/>
      <c r="Z71" s="141" t="s">
        <v>162</v>
      </c>
      <c r="AA71" s="137"/>
      <c r="AB71" s="137"/>
      <c r="AC71" s="141">
        <v>10130.0</v>
      </c>
      <c r="AD71" s="144"/>
    </row>
    <row r="72" ht="15.75" customHeight="1">
      <c r="A72" s="195"/>
      <c r="B72" s="206"/>
      <c r="C72" s="207"/>
      <c r="D72" s="206"/>
      <c r="E72" s="210"/>
      <c r="F72" s="210"/>
      <c r="G72" s="210"/>
      <c r="H72" s="210"/>
      <c r="I72" s="210"/>
      <c r="J72" s="210"/>
      <c r="R72" s="187"/>
      <c r="S72" s="187"/>
      <c r="T72" s="187"/>
      <c r="U72" s="187"/>
      <c r="V72" s="188"/>
      <c r="X72" s="177">
        <v>207865.0</v>
      </c>
      <c r="Y72" s="141" t="s">
        <v>216</v>
      </c>
      <c r="Z72" s="141" t="s">
        <v>179</v>
      </c>
      <c r="AA72" s="137"/>
      <c r="AB72" s="141">
        <v>21.0</v>
      </c>
      <c r="AC72" s="141">
        <v>667.0</v>
      </c>
      <c r="AD72" s="144"/>
    </row>
    <row r="73" ht="15.75" customHeight="1">
      <c r="A73" s="195"/>
      <c r="B73" s="206"/>
      <c r="C73" s="207"/>
      <c r="D73" s="206"/>
      <c r="E73" s="207"/>
      <c r="F73" s="207"/>
      <c r="G73" s="207"/>
      <c r="H73" s="207"/>
      <c r="I73" s="207"/>
      <c r="J73" s="207"/>
      <c r="K73" s="65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8"/>
      <c r="X73" s="143"/>
      <c r="Y73" s="137"/>
      <c r="Z73" s="141" t="s">
        <v>186</v>
      </c>
      <c r="AA73" s="137"/>
      <c r="AB73" s="141">
        <v>21.0</v>
      </c>
      <c r="AC73" s="141">
        <v>667.0</v>
      </c>
      <c r="AD73" s="144"/>
    </row>
    <row r="74" ht="15.75" customHeight="1">
      <c r="A74" s="195"/>
      <c r="B74" s="206"/>
      <c r="C74" s="207"/>
      <c r="D74" s="206"/>
      <c r="E74" s="207"/>
      <c r="F74" s="207"/>
      <c r="G74" s="207"/>
      <c r="H74" s="207"/>
      <c r="I74" s="207"/>
      <c r="J74" s="207"/>
      <c r="K74" s="65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8"/>
      <c r="X74" s="143"/>
      <c r="Y74" s="137"/>
      <c r="Z74" s="141" t="s">
        <v>205</v>
      </c>
      <c r="AA74" s="137"/>
      <c r="AB74" s="141">
        <v>150.0</v>
      </c>
      <c r="AC74" s="141">
        <v>1876.0</v>
      </c>
      <c r="AD74" s="144"/>
    </row>
    <row r="75" ht="15.75" customHeight="1">
      <c r="A75" s="195"/>
      <c r="B75" s="206"/>
      <c r="C75" s="207"/>
      <c r="D75" s="206"/>
      <c r="E75" s="207"/>
      <c r="F75" s="207"/>
      <c r="G75" s="207"/>
      <c r="H75" s="207"/>
      <c r="I75" s="207"/>
      <c r="J75" s="207"/>
      <c r="K75" s="65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8"/>
      <c r="X75" s="143"/>
      <c r="Y75" s="137"/>
      <c r="Z75" s="141" t="s">
        <v>213</v>
      </c>
      <c r="AA75" s="137"/>
      <c r="AB75" s="141">
        <v>375.0</v>
      </c>
      <c r="AC75" s="141">
        <v>4690.0</v>
      </c>
      <c r="AD75" s="144"/>
    </row>
    <row r="76" ht="15.75" customHeight="1">
      <c r="A76" s="195"/>
      <c r="B76" s="206"/>
      <c r="C76" s="207"/>
      <c r="D76" s="206"/>
      <c r="E76" s="207"/>
      <c r="F76" s="207"/>
      <c r="G76" s="207"/>
      <c r="H76" s="207"/>
      <c r="I76" s="207"/>
      <c r="J76" s="207"/>
      <c r="K76" s="65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8"/>
      <c r="X76" s="177">
        <v>207866.0</v>
      </c>
      <c r="Y76" s="141" t="s">
        <v>217</v>
      </c>
      <c r="Z76" s="141" t="s">
        <v>172</v>
      </c>
      <c r="AA76" s="137"/>
      <c r="AB76" s="141">
        <v>75.0</v>
      </c>
      <c r="AC76" s="141">
        <v>938.0</v>
      </c>
      <c r="AD76" s="144"/>
    </row>
    <row r="77" ht="15.75" customHeight="1">
      <c r="A77" s="195"/>
      <c r="B77" s="206"/>
      <c r="C77" s="207"/>
      <c r="D77" s="206"/>
      <c r="E77" s="207"/>
      <c r="F77" s="207"/>
      <c r="G77" s="207"/>
      <c r="H77" s="207"/>
      <c r="I77" s="207"/>
      <c r="J77" s="207"/>
      <c r="K77" s="65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8"/>
      <c r="X77" s="177">
        <v>207867.0</v>
      </c>
      <c r="Y77" s="141" t="s">
        <v>218</v>
      </c>
      <c r="Z77" s="141" t="s">
        <v>181</v>
      </c>
      <c r="AA77" s="141">
        <v>963.0</v>
      </c>
      <c r="AB77" s="141">
        <v>50.0</v>
      </c>
      <c r="AC77" s="141"/>
      <c r="AD77" s="144"/>
    </row>
    <row r="78" ht="15.75" customHeight="1">
      <c r="A78" s="195"/>
      <c r="B78" s="206"/>
      <c r="C78" s="207"/>
      <c r="D78" s="206"/>
      <c r="E78" s="207"/>
      <c r="F78" s="207"/>
      <c r="G78" s="207"/>
      <c r="H78" s="207"/>
      <c r="I78" s="207"/>
      <c r="J78" s="207"/>
      <c r="K78" s="65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8"/>
      <c r="X78" s="177">
        <v>207868.0</v>
      </c>
      <c r="Y78" s="141" t="s">
        <v>219</v>
      </c>
      <c r="Z78" s="141" t="s">
        <v>220</v>
      </c>
      <c r="AA78" s="137"/>
      <c r="AB78" s="141">
        <v>42.0</v>
      </c>
      <c r="AC78" s="141">
        <v>536.0</v>
      </c>
      <c r="AD78" s="144"/>
    </row>
    <row r="79" ht="15.75" customHeight="1">
      <c r="A79" s="195"/>
      <c r="B79" s="206"/>
      <c r="C79" s="207"/>
      <c r="D79" s="206"/>
      <c r="E79" s="207"/>
      <c r="F79" s="207"/>
      <c r="G79" s="207"/>
      <c r="H79" s="207"/>
      <c r="I79" s="207"/>
      <c r="J79" s="207"/>
      <c r="K79" s="65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8"/>
      <c r="X79" s="143"/>
      <c r="Y79" s="137"/>
      <c r="Z79" s="141" t="s">
        <v>186</v>
      </c>
      <c r="AA79" s="137"/>
      <c r="AB79" s="141">
        <v>21.0</v>
      </c>
      <c r="AC79" s="141">
        <v>667.0</v>
      </c>
      <c r="AD79" s="144"/>
    </row>
    <row r="80" ht="15.75" customHeight="1">
      <c r="A80" s="195"/>
      <c r="B80" s="206"/>
      <c r="C80" s="207"/>
      <c r="D80" s="206"/>
      <c r="E80" s="207"/>
      <c r="F80" s="207"/>
      <c r="G80" s="207"/>
      <c r="H80" s="207"/>
      <c r="I80" s="207"/>
      <c r="J80" s="207"/>
      <c r="K80" s="65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8"/>
      <c r="X80" s="143"/>
      <c r="Y80" s="137"/>
      <c r="Z80" s="141" t="s">
        <v>179</v>
      </c>
      <c r="AA80" s="137"/>
      <c r="AB80" s="141">
        <v>21.0</v>
      </c>
      <c r="AC80" s="141">
        <v>667.0</v>
      </c>
      <c r="AD80" s="144"/>
    </row>
    <row r="81" ht="15.75" customHeight="1">
      <c r="A81" s="195"/>
      <c r="B81" s="59"/>
      <c r="C81" s="207"/>
      <c r="D81" s="206"/>
      <c r="E81" s="207"/>
      <c r="F81" s="207"/>
      <c r="G81" s="207"/>
      <c r="H81" s="207"/>
      <c r="I81" s="207"/>
      <c r="J81" s="207"/>
      <c r="K81" s="65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8"/>
      <c r="X81" s="143"/>
      <c r="Y81" s="137"/>
      <c r="Z81" s="141" t="s">
        <v>213</v>
      </c>
      <c r="AA81" s="137"/>
      <c r="AB81" s="141">
        <v>375.0</v>
      </c>
      <c r="AC81" s="141">
        <v>4690.0</v>
      </c>
      <c r="AD81" s="144"/>
    </row>
    <row r="82" ht="15.75" customHeight="1">
      <c r="A82" s="195"/>
      <c r="B82" s="59"/>
      <c r="C82" s="207"/>
      <c r="D82" s="206"/>
      <c r="E82" s="207"/>
      <c r="F82" s="207"/>
      <c r="G82" s="207"/>
      <c r="H82" s="207"/>
      <c r="I82" s="207"/>
      <c r="J82" s="207"/>
      <c r="K82" s="65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8"/>
      <c r="X82" s="143"/>
      <c r="Y82" s="137"/>
      <c r="Z82" s="141" t="s">
        <v>155</v>
      </c>
      <c r="AA82" s="137"/>
      <c r="AB82" s="141">
        <v>375.0</v>
      </c>
      <c r="AC82" s="141">
        <v>4690.0</v>
      </c>
      <c r="AD82" s="144"/>
    </row>
    <row r="83" ht="15.75" customHeight="1">
      <c r="A83" s="195"/>
      <c r="B83" s="59"/>
      <c r="C83" s="207"/>
      <c r="D83" s="206"/>
      <c r="E83" s="207"/>
      <c r="F83" s="207"/>
      <c r="G83" s="207"/>
      <c r="H83" s="207"/>
      <c r="I83" s="207"/>
      <c r="J83" s="207"/>
      <c r="K83" s="65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8"/>
      <c r="X83" s="177">
        <v>207869.0</v>
      </c>
      <c r="Y83" s="141" t="s">
        <v>221</v>
      </c>
      <c r="Z83" s="141" t="s">
        <v>181</v>
      </c>
      <c r="AA83" s="141">
        <v>988.0</v>
      </c>
      <c r="AB83" s="141">
        <v>25.0</v>
      </c>
      <c r="AC83" s="137"/>
      <c r="AD83" s="144"/>
    </row>
    <row r="84" ht="15.75" customHeight="1">
      <c r="A84" s="195"/>
      <c r="B84" s="59"/>
      <c r="C84" s="207"/>
      <c r="D84" s="206"/>
      <c r="E84" s="207"/>
      <c r="F84" s="207"/>
      <c r="G84" s="207"/>
      <c r="H84" s="207"/>
      <c r="I84" s="207"/>
      <c r="J84" s="207"/>
      <c r="K84" s="65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8"/>
      <c r="X84" s="177">
        <v>207870.0</v>
      </c>
      <c r="Y84" s="141" t="s">
        <v>222</v>
      </c>
      <c r="Z84" s="141" t="s">
        <v>181</v>
      </c>
      <c r="AA84" s="141">
        <v>938.0</v>
      </c>
      <c r="AB84" s="141">
        <v>75.0</v>
      </c>
      <c r="AC84" s="137"/>
      <c r="AD84" s="144"/>
    </row>
    <row r="85" ht="15.75" customHeight="1">
      <c r="A85" s="195"/>
      <c r="B85" s="59"/>
      <c r="C85" s="207"/>
      <c r="D85" s="59"/>
      <c r="E85" s="207"/>
      <c r="F85" s="207"/>
      <c r="G85" s="207"/>
      <c r="H85" s="207"/>
      <c r="I85" s="207"/>
      <c r="J85" s="207"/>
      <c r="K85" s="65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8"/>
      <c r="X85" s="177">
        <v>207871.0</v>
      </c>
      <c r="Y85" s="141" t="s">
        <v>223</v>
      </c>
      <c r="Z85" s="141" t="s">
        <v>156</v>
      </c>
      <c r="AA85" s="141">
        <v>1876.0</v>
      </c>
      <c r="AB85" s="141">
        <v>150.0</v>
      </c>
      <c r="AC85" s="137"/>
      <c r="AD85" s="144"/>
    </row>
    <row r="86" ht="15.75" customHeight="1">
      <c r="A86" s="195"/>
      <c r="B86" s="59"/>
      <c r="C86" s="207"/>
      <c r="D86" s="59"/>
      <c r="E86" s="207"/>
      <c r="F86" s="207"/>
      <c r="G86" s="207"/>
      <c r="H86" s="207"/>
      <c r="I86" s="207"/>
      <c r="J86" s="207"/>
      <c r="K86" s="65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8"/>
      <c r="X86" s="177">
        <v>207872.0</v>
      </c>
      <c r="Y86" s="141" t="s">
        <v>224</v>
      </c>
      <c r="Z86" s="141" t="s">
        <v>181</v>
      </c>
      <c r="AA86" s="141">
        <v>938.0</v>
      </c>
      <c r="AB86" s="141">
        <v>75.0</v>
      </c>
      <c r="AC86" s="137"/>
      <c r="AD86" s="144"/>
    </row>
    <row r="87" ht="15.75" customHeight="1">
      <c r="A87" s="195"/>
      <c r="B87" s="59"/>
      <c r="C87" s="207"/>
      <c r="D87" s="59"/>
      <c r="E87" s="207"/>
      <c r="F87" s="207"/>
      <c r="G87" s="207"/>
      <c r="H87" s="207"/>
      <c r="I87" s="207"/>
      <c r="J87" s="207"/>
      <c r="K87" s="65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8"/>
      <c r="X87" s="177">
        <v>207873.0</v>
      </c>
      <c r="Y87" s="141" t="s">
        <v>225</v>
      </c>
      <c r="Z87" s="141" t="s">
        <v>181</v>
      </c>
      <c r="AA87" s="141">
        <v>963.0</v>
      </c>
      <c r="AB87" s="141">
        <v>50.0</v>
      </c>
      <c r="AC87" s="137"/>
      <c r="AD87" s="144"/>
    </row>
    <row r="88" ht="15.75" customHeight="1">
      <c r="A88" s="195"/>
      <c r="B88" s="59"/>
      <c r="C88" s="207"/>
      <c r="D88" s="59"/>
      <c r="E88" s="207"/>
      <c r="F88" s="207"/>
      <c r="G88" s="207"/>
      <c r="H88" s="207"/>
      <c r="I88" s="207"/>
      <c r="J88" s="207"/>
      <c r="K88" s="65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8"/>
      <c r="X88" s="177">
        <v>207874.0</v>
      </c>
      <c r="Y88" s="141" t="s">
        <v>226</v>
      </c>
      <c r="Z88" s="141" t="s">
        <v>172</v>
      </c>
      <c r="AA88" s="141">
        <v>963.0</v>
      </c>
      <c r="AB88" s="141">
        <v>50.0</v>
      </c>
      <c r="AC88" s="137"/>
      <c r="AD88" s="144"/>
    </row>
    <row r="89" ht="15.75" customHeight="1">
      <c r="A89" s="195"/>
      <c r="B89" s="59"/>
      <c r="C89" s="207"/>
      <c r="D89" s="59"/>
      <c r="E89" s="207"/>
      <c r="F89" s="207"/>
      <c r="G89" s="207"/>
      <c r="H89" s="207"/>
      <c r="I89" s="207"/>
      <c r="J89" s="207"/>
      <c r="K89" s="65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8"/>
      <c r="X89" s="177">
        <v>207875.0</v>
      </c>
      <c r="Y89" s="141" t="s">
        <v>227</v>
      </c>
      <c r="Z89" s="141" t="s">
        <v>154</v>
      </c>
      <c r="AA89" s="141">
        <v>280.0</v>
      </c>
      <c r="AB89" s="141">
        <v>9.0</v>
      </c>
      <c r="AC89" s="137"/>
      <c r="AD89" s="144"/>
    </row>
    <row r="90" ht="15.75" customHeight="1">
      <c r="A90" s="195"/>
      <c r="B90" s="59"/>
      <c r="C90" s="207"/>
      <c r="D90" s="59"/>
      <c r="E90" s="207"/>
      <c r="F90" s="207"/>
      <c r="G90" s="207"/>
      <c r="H90" s="207"/>
      <c r="I90" s="207"/>
      <c r="J90" s="207"/>
      <c r="K90" s="65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8"/>
      <c r="X90" s="177">
        <v>207876.0</v>
      </c>
      <c r="Y90" s="141" t="s">
        <v>228</v>
      </c>
      <c r="Z90" s="141" t="s">
        <v>229</v>
      </c>
      <c r="AA90" s="141">
        <v>280.0</v>
      </c>
      <c r="AB90" s="141">
        <v>9.0</v>
      </c>
      <c r="AC90" s="137"/>
      <c r="AD90" s="144"/>
    </row>
    <row r="91" ht="15.75" customHeight="1">
      <c r="A91" s="195"/>
      <c r="B91" s="59"/>
      <c r="C91" s="207"/>
      <c r="D91" s="59"/>
      <c r="E91" s="207"/>
      <c r="F91" s="207"/>
      <c r="G91" s="207"/>
      <c r="H91" s="207"/>
      <c r="I91" s="207"/>
      <c r="J91" s="207"/>
      <c r="K91" s="65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8"/>
      <c r="X91" s="177">
        <v>207877.0</v>
      </c>
      <c r="Y91" s="141" t="s">
        <v>230</v>
      </c>
      <c r="Z91" s="141" t="s">
        <v>172</v>
      </c>
      <c r="AA91" s="141">
        <v>963.0</v>
      </c>
      <c r="AB91" s="141">
        <v>50.0</v>
      </c>
      <c r="AC91" s="137"/>
      <c r="AD91" s="144"/>
    </row>
    <row r="92" ht="15.75" customHeight="1">
      <c r="A92" s="195"/>
      <c r="B92" s="59"/>
      <c r="C92" s="207"/>
      <c r="D92" s="59"/>
      <c r="E92" s="207"/>
      <c r="F92" s="207"/>
      <c r="G92" s="207"/>
      <c r="H92" s="207"/>
      <c r="I92" s="207"/>
      <c r="J92" s="207"/>
      <c r="K92" s="65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8"/>
      <c r="X92" s="177">
        <v>207878.0</v>
      </c>
      <c r="Y92" s="141" t="s">
        <v>136</v>
      </c>
      <c r="Z92" s="141" t="s">
        <v>156</v>
      </c>
      <c r="AA92" s="137"/>
      <c r="AB92" s="137"/>
      <c r="AC92" s="141">
        <v>2026.0</v>
      </c>
      <c r="AD92" s="144"/>
    </row>
    <row r="93" ht="15.75" customHeight="1">
      <c r="A93" s="195"/>
      <c r="B93" s="59"/>
      <c r="C93" s="207"/>
      <c r="D93" s="59"/>
      <c r="E93" s="65"/>
      <c r="F93" s="65"/>
      <c r="G93" s="65"/>
      <c r="H93" s="65"/>
      <c r="I93" s="65"/>
      <c r="J93" s="65"/>
      <c r="K93" s="65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8"/>
      <c r="X93" s="177">
        <v>207879.0</v>
      </c>
      <c r="Y93" s="141" t="s">
        <v>231</v>
      </c>
      <c r="Z93" s="141" t="s">
        <v>154</v>
      </c>
      <c r="AA93" s="141">
        <v>280.0</v>
      </c>
      <c r="AB93" s="141">
        <v>9.0</v>
      </c>
      <c r="AC93" s="137"/>
      <c r="AD93" s="144"/>
    </row>
    <row r="94" ht="15.75" customHeight="1">
      <c r="A94" s="195"/>
      <c r="B94" s="59"/>
      <c r="C94" s="207"/>
      <c r="D94" s="59"/>
      <c r="E94" s="65"/>
      <c r="F94" s="65"/>
      <c r="G94" s="65"/>
      <c r="H94" s="65"/>
      <c r="I94" s="65"/>
      <c r="J94" s="65"/>
      <c r="K94" s="65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8"/>
      <c r="X94" s="177">
        <v>207880.0</v>
      </c>
      <c r="Y94" s="141" t="s">
        <v>232</v>
      </c>
      <c r="Z94" s="141" t="s">
        <v>172</v>
      </c>
      <c r="AA94" s="141">
        <v>963.0</v>
      </c>
      <c r="AB94" s="141">
        <v>50.0</v>
      </c>
      <c r="AC94" s="137"/>
      <c r="AD94" s="144"/>
    </row>
    <row r="95" ht="15.75" customHeight="1">
      <c r="A95" s="195"/>
      <c r="B95" s="59"/>
      <c r="C95" s="65"/>
      <c r="D95" s="59"/>
      <c r="E95" s="65"/>
      <c r="F95" s="65"/>
      <c r="G95" s="65"/>
      <c r="H95" s="65"/>
      <c r="I95" s="65"/>
      <c r="J95" s="65"/>
      <c r="K95" s="65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8"/>
      <c r="X95" s="143"/>
      <c r="Y95" s="137"/>
      <c r="Z95" s="141" t="s">
        <v>233</v>
      </c>
      <c r="AA95" s="141">
        <v>180.0</v>
      </c>
      <c r="AB95" s="137"/>
      <c r="AC95" s="137"/>
      <c r="AD95" s="144"/>
    </row>
    <row r="96" ht="15.75" customHeight="1">
      <c r="A96" s="195"/>
      <c r="B96" s="59"/>
      <c r="C96" s="59"/>
      <c r="D96" s="59"/>
      <c r="E96" s="65"/>
      <c r="F96" s="65"/>
      <c r="G96" s="65"/>
      <c r="H96" s="65"/>
      <c r="I96" s="65"/>
      <c r="J96" s="65"/>
      <c r="K96" s="65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8"/>
      <c r="X96" s="143"/>
      <c r="Y96" s="137"/>
      <c r="Z96" s="141" t="s">
        <v>234</v>
      </c>
      <c r="AA96" s="141">
        <v>20.0</v>
      </c>
      <c r="AB96" s="137"/>
      <c r="AC96" s="137"/>
      <c r="AD96" s="144"/>
    </row>
    <row r="97" ht="15.75" customHeight="1">
      <c r="B97" s="211"/>
      <c r="D97" s="211"/>
      <c r="E97" s="65"/>
      <c r="F97" s="65"/>
      <c r="G97" s="65"/>
      <c r="H97" s="65"/>
      <c r="I97" s="65"/>
      <c r="J97" s="65"/>
      <c r="K97" s="65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8"/>
      <c r="X97" s="143"/>
      <c r="Y97" s="137"/>
      <c r="Z97" s="141" t="s">
        <v>235</v>
      </c>
      <c r="AA97" s="141">
        <v>150.0</v>
      </c>
      <c r="AB97" s="137"/>
      <c r="AC97" s="137"/>
      <c r="AD97" s="144"/>
    </row>
    <row r="98" ht="15.75" customHeight="1">
      <c r="B98" s="211"/>
      <c r="D98" s="211"/>
      <c r="E98" s="65"/>
      <c r="F98" s="65"/>
      <c r="G98" s="65"/>
      <c r="H98" s="65"/>
      <c r="I98" s="65"/>
      <c r="J98" s="65"/>
      <c r="K98" s="65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8"/>
      <c r="X98" s="143"/>
      <c r="Y98" s="137"/>
      <c r="Z98" s="137"/>
      <c r="AA98" s="137"/>
      <c r="AB98" s="137"/>
      <c r="AC98" s="137"/>
      <c r="AD98" s="144"/>
    </row>
    <row r="99" ht="15.75" customHeight="1">
      <c r="B99" s="211"/>
      <c r="D99" s="211"/>
      <c r="E99" s="65"/>
      <c r="F99" s="65"/>
      <c r="G99" s="65"/>
      <c r="H99" s="65"/>
      <c r="I99" s="65"/>
      <c r="J99" s="65"/>
      <c r="K99" s="65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8"/>
      <c r="X99" s="143"/>
      <c r="Y99" s="137"/>
      <c r="Z99" s="137"/>
      <c r="AA99" s="137"/>
      <c r="AB99" s="137"/>
      <c r="AC99" s="137"/>
      <c r="AD99" s="144"/>
    </row>
    <row r="100" ht="15.75" customHeight="1">
      <c r="B100" s="211"/>
      <c r="D100" s="211"/>
      <c r="E100" s="65"/>
      <c r="F100" s="65"/>
      <c r="G100" s="65"/>
      <c r="H100" s="65"/>
      <c r="I100" s="65"/>
      <c r="J100" s="65"/>
      <c r="K100" s="65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8"/>
      <c r="X100" s="212" t="s">
        <v>236</v>
      </c>
      <c r="Y100" s="213"/>
      <c r="Z100" s="214"/>
      <c r="AA100" s="215">
        <f t="shared" ref="AA100:AC100" si="35">SUM(AA3:AA99)</f>
        <v>103220</v>
      </c>
      <c r="AB100" s="215">
        <f t="shared" si="35"/>
        <v>14193</v>
      </c>
      <c r="AC100" s="215">
        <f t="shared" si="35"/>
        <v>111487</v>
      </c>
      <c r="AD100" s="216"/>
    </row>
    <row r="101" ht="15.75" customHeight="1">
      <c r="B101" s="211"/>
      <c r="D101" s="211"/>
      <c r="E101" s="65"/>
      <c r="F101" s="65"/>
      <c r="G101" s="65"/>
      <c r="H101" s="65"/>
      <c r="I101" s="65"/>
      <c r="J101" s="65"/>
      <c r="K101" s="65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8"/>
    </row>
    <row r="102" ht="15.75" customHeight="1">
      <c r="B102" s="211"/>
      <c r="D102" s="211"/>
      <c r="E102" s="65"/>
      <c r="F102" s="65"/>
      <c r="G102" s="65"/>
      <c r="H102" s="65"/>
      <c r="I102" s="65"/>
      <c r="J102" s="65"/>
      <c r="K102" s="65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8"/>
    </row>
    <row r="103" ht="15.75" customHeight="1">
      <c r="B103" s="211"/>
      <c r="D103" s="211"/>
      <c r="E103" s="65"/>
      <c r="F103" s="65"/>
      <c r="G103" s="65"/>
      <c r="H103" s="65"/>
      <c r="I103" s="65"/>
      <c r="J103" s="65"/>
      <c r="K103" s="65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8"/>
    </row>
    <row r="104" ht="15.75" customHeight="1">
      <c r="B104" s="211"/>
      <c r="D104" s="211"/>
      <c r="E104" s="65"/>
      <c r="F104" s="65"/>
      <c r="G104" s="65"/>
      <c r="H104" s="65"/>
      <c r="I104" s="65"/>
      <c r="J104" s="65"/>
      <c r="K104" s="65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8"/>
    </row>
    <row r="105" ht="15.75" customHeight="1">
      <c r="B105" s="211"/>
      <c r="D105" s="211"/>
      <c r="E105" s="65"/>
      <c r="F105" s="65"/>
      <c r="G105" s="65"/>
      <c r="H105" s="65"/>
      <c r="I105" s="65"/>
      <c r="J105" s="65"/>
      <c r="K105" s="65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8"/>
    </row>
    <row r="106" ht="15.75" customHeight="1">
      <c r="A106" s="65"/>
      <c r="B106" s="59"/>
      <c r="C106" s="217"/>
      <c r="D106" s="59"/>
      <c r="E106" s="65"/>
      <c r="F106" s="65"/>
      <c r="G106" s="65"/>
      <c r="H106" s="65"/>
      <c r="I106" s="65"/>
      <c r="J106" s="65"/>
      <c r="K106" s="65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8"/>
    </row>
    <row r="107" ht="15.75" customHeight="1">
      <c r="A107" s="65"/>
      <c r="B107" s="59"/>
      <c r="C107" s="217"/>
      <c r="D107" s="59"/>
      <c r="E107" s="65"/>
      <c r="F107" s="65"/>
      <c r="G107" s="65"/>
      <c r="H107" s="65"/>
      <c r="I107" s="65"/>
      <c r="J107" s="65"/>
      <c r="K107" s="65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8"/>
    </row>
    <row r="108" ht="15.75" customHeight="1">
      <c r="A108" s="65"/>
      <c r="B108" s="59"/>
      <c r="C108" s="217"/>
      <c r="D108" s="59"/>
      <c r="E108" s="65"/>
      <c r="F108" s="65"/>
      <c r="G108" s="65"/>
      <c r="H108" s="65"/>
      <c r="I108" s="65"/>
      <c r="J108" s="65"/>
      <c r="K108" s="65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8"/>
    </row>
    <row r="109" ht="15.75" customHeight="1">
      <c r="A109" s="65"/>
      <c r="B109" s="59"/>
      <c r="C109" s="218"/>
      <c r="D109" s="59"/>
      <c r="E109" s="65"/>
      <c r="F109" s="65"/>
      <c r="G109" s="65"/>
      <c r="H109" s="65"/>
      <c r="I109" s="65"/>
      <c r="J109" s="65"/>
      <c r="K109" s="65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8"/>
    </row>
    <row r="110" ht="15.75" customHeight="1">
      <c r="A110" s="65"/>
      <c r="B110" s="59"/>
      <c r="C110" s="219"/>
      <c r="D110" s="59"/>
      <c r="E110" s="65"/>
      <c r="F110" s="65"/>
      <c r="G110" s="65"/>
      <c r="H110" s="65"/>
      <c r="I110" s="65"/>
      <c r="J110" s="65"/>
      <c r="K110" s="65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8"/>
    </row>
    <row r="111" ht="15.75" customHeight="1">
      <c r="A111" s="65"/>
      <c r="B111" s="59"/>
      <c r="C111" s="218"/>
      <c r="D111" s="59"/>
      <c r="E111" s="65"/>
      <c r="F111" s="65"/>
      <c r="G111" s="65"/>
      <c r="H111" s="65"/>
      <c r="I111" s="65"/>
      <c r="J111" s="65"/>
      <c r="K111" s="65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8"/>
    </row>
    <row r="112" ht="15.75" customHeight="1">
      <c r="A112" s="65"/>
      <c r="B112" s="59"/>
      <c r="C112" s="220"/>
      <c r="D112" s="59"/>
      <c r="E112" s="65"/>
      <c r="F112" s="65"/>
      <c r="G112" s="65"/>
      <c r="H112" s="65"/>
      <c r="I112" s="65"/>
      <c r="J112" s="65"/>
      <c r="K112" s="65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8"/>
    </row>
    <row r="113" ht="15.75" customHeight="1">
      <c r="A113" s="65"/>
      <c r="B113" s="59"/>
      <c r="C113" s="65"/>
      <c r="D113" s="59"/>
      <c r="E113" s="65"/>
      <c r="F113" s="65"/>
      <c r="G113" s="65"/>
      <c r="H113" s="65"/>
      <c r="I113" s="65"/>
      <c r="J113" s="65"/>
      <c r="K113" s="65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8"/>
    </row>
    <row r="114" ht="15.75" customHeight="1">
      <c r="A114" s="65"/>
      <c r="B114" s="59"/>
      <c r="C114" s="207"/>
      <c r="D114" s="59"/>
      <c r="E114" s="65"/>
      <c r="F114" s="65"/>
      <c r="G114" s="65"/>
      <c r="H114" s="65"/>
      <c r="I114" s="65"/>
      <c r="J114" s="65"/>
      <c r="K114" s="65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8"/>
    </row>
    <row r="115" ht="15.75" customHeight="1">
      <c r="A115" s="65"/>
      <c r="B115" s="59"/>
      <c r="C115" s="207"/>
      <c r="D115" s="59"/>
      <c r="E115" s="65"/>
      <c r="F115" s="65"/>
      <c r="G115" s="65"/>
      <c r="H115" s="65"/>
      <c r="I115" s="65"/>
      <c r="J115" s="65"/>
      <c r="K115" s="65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8"/>
    </row>
    <row r="116" ht="15.75" customHeight="1">
      <c r="A116" s="65"/>
      <c r="B116" s="59"/>
      <c r="C116" s="207"/>
      <c r="D116" s="59"/>
      <c r="E116" s="65"/>
      <c r="F116" s="65"/>
      <c r="G116" s="65"/>
      <c r="H116" s="65"/>
      <c r="I116" s="65"/>
      <c r="J116" s="65"/>
      <c r="K116" s="65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8"/>
    </row>
    <row r="117" ht="15.75" customHeight="1">
      <c r="A117" s="65"/>
      <c r="B117" s="59"/>
      <c r="C117" s="207"/>
      <c r="D117" s="59"/>
      <c r="E117" s="65"/>
      <c r="F117" s="65"/>
      <c r="G117" s="65"/>
      <c r="H117" s="65"/>
      <c r="I117" s="65"/>
      <c r="J117" s="65"/>
      <c r="K117" s="65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8"/>
    </row>
    <row r="118" ht="15.75" customHeight="1">
      <c r="A118" s="65"/>
      <c r="B118" s="59"/>
      <c r="C118" s="207"/>
      <c r="D118" s="59"/>
      <c r="E118" s="65"/>
      <c r="F118" s="65"/>
      <c r="G118" s="65"/>
      <c r="H118" s="65"/>
      <c r="I118" s="65"/>
      <c r="J118" s="65"/>
      <c r="K118" s="65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8"/>
    </row>
    <row r="119" ht="15.75" customHeight="1">
      <c r="A119" s="65"/>
      <c r="B119" s="59"/>
      <c r="C119" s="207"/>
      <c r="D119" s="59"/>
      <c r="E119" s="65"/>
      <c r="F119" s="65"/>
      <c r="G119" s="65"/>
      <c r="H119" s="65"/>
      <c r="I119" s="65"/>
      <c r="J119" s="65"/>
      <c r="K119" s="65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8"/>
    </row>
    <row r="120" ht="15.75" customHeight="1">
      <c r="A120" s="65"/>
      <c r="B120" s="59"/>
      <c r="C120" s="207"/>
      <c r="D120" s="59"/>
      <c r="E120" s="65"/>
      <c r="F120" s="65"/>
      <c r="G120" s="65"/>
      <c r="H120" s="65"/>
      <c r="I120" s="65"/>
      <c r="J120" s="65"/>
      <c r="K120" s="65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8"/>
    </row>
    <row r="121" ht="15.75" customHeight="1">
      <c r="A121" s="65"/>
      <c r="B121" s="59"/>
      <c r="C121" s="207"/>
      <c r="D121" s="59"/>
      <c r="E121" s="65"/>
      <c r="F121" s="65"/>
      <c r="G121" s="65"/>
      <c r="H121" s="65"/>
      <c r="I121" s="65"/>
      <c r="J121" s="65"/>
      <c r="K121" s="65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8"/>
    </row>
    <row r="122" ht="15.75" customHeight="1">
      <c r="A122" s="65"/>
      <c r="B122" s="59"/>
      <c r="C122" s="207"/>
      <c r="D122" s="59"/>
      <c r="E122" s="65"/>
      <c r="F122" s="65"/>
      <c r="G122" s="65"/>
      <c r="H122" s="65"/>
      <c r="I122" s="65"/>
      <c r="J122" s="65"/>
      <c r="K122" s="65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8"/>
    </row>
    <row r="123" ht="15.75" customHeight="1">
      <c r="A123" s="65"/>
      <c r="B123" s="59"/>
      <c r="C123" s="207"/>
      <c r="D123" s="59"/>
      <c r="E123" s="65"/>
      <c r="F123" s="65"/>
      <c r="G123" s="65"/>
      <c r="H123" s="65"/>
      <c r="I123" s="65"/>
      <c r="J123" s="65"/>
      <c r="K123" s="65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8"/>
    </row>
    <row r="124" ht="15.75" customHeight="1">
      <c r="A124" s="65"/>
      <c r="B124" s="59"/>
      <c r="C124" s="207"/>
      <c r="D124" s="59"/>
      <c r="E124" s="65"/>
      <c r="F124" s="65"/>
      <c r="G124" s="65"/>
      <c r="H124" s="65"/>
      <c r="I124" s="65"/>
      <c r="J124" s="65"/>
      <c r="K124" s="65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8"/>
    </row>
    <row r="125" ht="15.75" customHeight="1">
      <c r="A125" s="65"/>
      <c r="B125" s="59"/>
      <c r="C125" s="207"/>
      <c r="D125" s="59"/>
      <c r="E125" s="65"/>
      <c r="F125" s="65"/>
      <c r="G125" s="65"/>
      <c r="H125" s="65"/>
      <c r="I125" s="65"/>
      <c r="J125" s="65"/>
      <c r="K125" s="65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8"/>
    </row>
    <row r="126" ht="15.75" customHeight="1">
      <c r="A126" s="65"/>
      <c r="B126" s="59"/>
      <c r="C126" s="207"/>
      <c r="D126" s="59"/>
      <c r="E126" s="65"/>
      <c r="F126" s="65"/>
      <c r="G126" s="65"/>
      <c r="H126" s="65"/>
      <c r="I126" s="65"/>
      <c r="J126" s="65"/>
      <c r="K126" s="65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8"/>
    </row>
    <row r="127" ht="15.75" customHeight="1">
      <c r="A127" s="65"/>
      <c r="B127" s="59"/>
      <c r="C127" s="207"/>
      <c r="D127" s="59"/>
      <c r="E127" s="65"/>
      <c r="F127" s="65"/>
      <c r="G127" s="65"/>
      <c r="H127" s="65"/>
      <c r="I127" s="65"/>
      <c r="J127" s="65"/>
      <c r="K127" s="65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8"/>
    </row>
    <row r="128" ht="15.75" customHeight="1">
      <c r="A128" s="65"/>
      <c r="B128" s="59"/>
      <c r="C128" s="207"/>
      <c r="D128" s="59"/>
      <c r="E128" s="65"/>
      <c r="F128" s="65"/>
      <c r="G128" s="65"/>
      <c r="H128" s="65"/>
      <c r="I128" s="65"/>
      <c r="J128" s="65"/>
      <c r="K128" s="65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8"/>
    </row>
    <row r="129" ht="15.75" customHeight="1">
      <c r="A129" s="65"/>
      <c r="B129" s="59"/>
      <c r="C129" s="207"/>
      <c r="D129" s="59"/>
      <c r="E129" s="65"/>
      <c r="F129" s="65"/>
      <c r="G129" s="65"/>
      <c r="H129" s="65"/>
      <c r="I129" s="65"/>
      <c r="J129" s="65"/>
      <c r="K129" s="65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8"/>
    </row>
    <row r="130" ht="15.75" customHeight="1">
      <c r="A130" s="65"/>
      <c r="B130" s="59"/>
      <c r="C130" s="207"/>
      <c r="D130" s="59"/>
      <c r="E130" s="65"/>
      <c r="F130" s="65"/>
      <c r="G130" s="65"/>
      <c r="H130" s="65"/>
      <c r="I130" s="65"/>
      <c r="J130" s="65"/>
      <c r="K130" s="65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8"/>
    </row>
    <row r="131" ht="15.75" customHeight="1">
      <c r="A131" s="65"/>
      <c r="B131" s="59"/>
      <c r="C131" s="207"/>
      <c r="D131" s="59"/>
      <c r="E131" s="65"/>
      <c r="F131" s="65"/>
      <c r="G131" s="65"/>
      <c r="H131" s="65"/>
      <c r="I131" s="65"/>
      <c r="J131" s="65"/>
      <c r="K131" s="65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8"/>
    </row>
    <row r="132" ht="15.75" customHeight="1">
      <c r="A132" s="65"/>
      <c r="B132" s="59"/>
      <c r="C132" s="207"/>
      <c r="D132" s="59"/>
      <c r="E132" s="65"/>
      <c r="F132" s="65"/>
      <c r="G132" s="65"/>
      <c r="H132" s="65"/>
      <c r="I132" s="65"/>
      <c r="J132" s="65"/>
      <c r="K132" s="65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8"/>
    </row>
    <row r="133" ht="15.75" customHeight="1">
      <c r="A133" s="65"/>
      <c r="B133" s="59"/>
      <c r="C133" s="207"/>
      <c r="D133" s="59"/>
      <c r="E133" s="65"/>
      <c r="F133" s="65"/>
      <c r="G133" s="65"/>
      <c r="H133" s="65"/>
      <c r="I133" s="65"/>
      <c r="J133" s="65"/>
      <c r="K133" s="65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8"/>
    </row>
    <row r="134" ht="15.75" customHeight="1">
      <c r="A134" s="65"/>
      <c r="B134" s="59"/>
      <c r="C134" s="207"/>
      <c r="D134" s="59"/>
      <c r="E134" s="65"/>
      <c r="F134" s="65"/>
      <c r="G134" s="65"/>
      <c r="H134" s="65"/>
      <c r="I134" s="65"/>
      <c r="J134" s="65"/>
      <c r="K134" s="65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8"/>
    </row>
    <row r="135" ht="15.75" customHeight="1">
      <c r="A135" s="65"/>
      <c r="B135" s="59"/>
      <c r="C135" s="207"/>
      <c r="D135" s="59"/>
      <c r="E135" s="65"/>
      <c r="F135" s="65"/>
      <c r="G135" s="65"/>
      <c r="H135" s="65"/>
      <c r="I135" s="65"/>
      <c r="J135" s="65"/>
      <c r="K135" s="65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8"/>
    </row>
    <row r="136" ht="15.75" customHeight="1">
      <c r="A136" s="65"/>
      <c r="B136" s="59"/>
      <c r="C136" s="207"/>
      <c r="D136" s="59"/>
      <c r="E136" s="65"/>
      <c r="F136" s="65"/>
      <c r="G136" s="65"/>
      <c r="H136" s="65"/>
      <c r="I136" s="65"/>
      <c r="J136" s="65"/>
      <c r="K136" s="65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8"/>
    </row>
    <row r="137" ht="15.75" customHeight="1">
      <c r="A137" s="65"/>
      <c r="B137" s="59"/>
      <c r="C137" s="207"/>
      <c r="D137" s="59"/>
      <c r="E137" s="65"/>
      <c r="F137" s="65"/>
      <c r="G137" s="65"/>
      <c r="H137" s="65"/>
      <c r="I137" s="65"/>
      <c r="J137" s="65"/>
      <c r="K137" s="65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8"/>
    </row>
    <row r="138" ht="15.75" customHeight="1">
      <c r="A138" s="65"/>
      <c r="B138" s="59"/>
      <c r="C138" s="207"/>
      <c r="D138" s="59"/>
      <c r="E138" s="65"/>
      <c r="F138" s="65"/>
      <c r="G138" s="65"/>
      <c r="H138" s="65"/>
      <c r="I138" s="65"/>
      <c r="J138" s="65"/>
      <c r="K138" s="65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8"/>
    </row>
    <row r="139" ht="15.75" customHeight="1">
      <c r="A139" s="65"/>
      <c r="B139" s="59"/>
      <c r="C139" s="207"/>
      <c r="D139" s="59"/>
      <c r="E139" s="65"/>
      <c r="F139" s="65"/>
      <c r="G139" s="65"/>
      <c r="H139" s="65"/>
      <c r="I139" s="65"/>
      <c r="J139" s="65"/>
      <c r="K139" s="65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8"/>
    </row>
    <row r="140" ht="15.75" customHeight="1">
      <c r="A140" s="65"/>
      <c r="B140" s="59"/>
      <c r="C140" s="207"/>
      <c r="D140" s="59"/>
      <c r="E140" s="65"/>
      <c r="F140" s="65"/>
      <c r="G140" s="65"/>
      <c r="H140" s="65"/>
      <c r="I140" s="65"/>
      <c r="J140" s="65"/>
      <c r="K140" s="65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8"/>
    </row>
    <row r="141" ht="15.75" customHeight="1">
      <c r="A141" s="65"/>
      <c r="B141" s="59"/>
      <c r="C141" s="207"/>
      <c r="D141" s="59"/>
      <c r="E141" s="65"/>
      <c r="F141" s="65"/>
      <c r="G141" s="65"/>
      <c r="H141" s="65"/>
      <c r="I141" s="65"/>
      <c r="J141" s="65"/>
      <c r="K141" s="65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8"/>
    </row>
    <row r="142" ht="15.75" customHeight="1">
      <c r="A142" s="65"/>
      <c r="B142" s="59"/>
      <c r="C142" s="207"/>
      <c r="D142" s="59"/>
      <c r="E142" s="65"/>
      <c r="F142" s="65"/>
      <c r="G142" s="65"/>
      <c r="H142" s="65"/>
      <c r="I142" s="65"/>
      <c r="J142" s="65"/>
      <c r="K142" s="65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8"/>
    </row>
    <row r="143" ht="15.75" customHeight="1">
      <c r="A143" s="65"/>
      <c r="B143" s="59"/>
      <c r="C143" s="207"/>
      <c r="D143" s="59"/>
      <c r="E143" s="65"/>
      <c r="F143" s="65"/>
      <c r="G143" s="65"/>
      <c r="H143" s="65"/>
      <c r="I143" s="65"/>
      <c r="J143" s="65"/>
      <c r="K143" s="65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8"/>
    </row>
    <row r="144" ht="15.75" customHeight="1">
      <c r="A144" s="65"/>
      <c r="B144" s="59"/>
      <c r="C144" s="207"/>
      <c r="D144" s="59"/>
      <c r="E144" s="65"/>
      <c r="F144" s="65"/>
      <c r="G144" s="65"/>
      <c r="H144" s="65"/>
      <c r="I144" s="65"/>
      <c r="J144" s="65"/>
      <c r="K144" s="65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8"/>
    </row>
    <row r="145" ht="15.75" customHeight="1">
      <c r="A145" s="65"/>
      <c r="B145" s="59"/>
      <c r="C145" s="65"/>
      <c r="D145" s="59"/>
      <c r="E145" s="65"/>
      <c r="F145" s="65"/>
      <c r="G145" s="65"/>
      <c r="H145" s="65"/>
      <c r="I145" s="65"/>
      <c r="J145" s="65"/>
      <c r="K145" s="65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8"/>
    </row>
    <row r="146" ht="15.75" customHeight="1">
      <c r="A146" s="65"/>
      <c r="B146" s="59"/>
      <c r="C146" s="217"/>
      <c r="D146" s="59"/>
      <c r="E146" s="65"/>
      <c r="F146" s="65"/>
      <c r="G146" s="65"/>
      <c r="H146" s="65"/>
      <c r="I146" s="65"/>
      <c r="J146" s="65"/>
      <c r="K146" s="65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8"/>
    </row>
    <row r="147" ht="15.75" customHeight="1">
      <c r="A147" s="65"/>
      <c r="B147" s="59"/>
      <c r="C147" s="217"/>
      <c r="D147" s="59"/>
      <c r="E147" s="65"/>
      <c r="F147" s="65"/>
      <c r="G147" s="65"/>
      <c r="H147" s="65"/>
      <c r="I147" s="65"/>
      <c r="J147" s="65"/>
      <c r="K147" s="65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8"/>
    </row>
    <row r="148" ht="15.75" customHeight="1">
      <c r="A148" s="65"/>
      <c r="B148" s="59"/>
      <c r="C148" s="217"/>
      <c r="D148" s="59"/>
      <c r="E148" s="65"/>
      <c r="F148" s="65"/>
      <c r="G148" s="65"/>
      <c r="H148" s="65"/>
      <c r="I148" s="65"/>
      <c r="J148" s="65"/>
      <c r="K148" s="65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8"/>
    </row>
    <row r="149" ht="15.75" customHeight="1">
      <c r="A149" s="65"/>
      <c r="B149" s="59"/>
      <c r="C149" s="217"/>
      <c r="D149" s="59"/>
      <c r="E149" s="65"/>
      <c r="F149" s="65"/>
      <c r="G149" s="65"/>
      <c r="H149" s="65"/>
      <c r="I149" s="65"/>
      <c r="J149" s="65"/>
      <c r="K149" s="65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8"/>
    </row>
    <row r="150" ht="15.75" customHeight="1">
      <c r="A150" s="65"/>
      <c r="B150" s="59"/>
      <c r="C150" s="217"/>
      <c r="D150" s="59"/>
      <c r="E150" s="65"/>
      <c r="F150" s="65"/>
      <c r="G150" s="65"/>
      <c r="H150" s="65"/>
      <c r="I150" s="65"/>
      <c r="J150" s="65"/>
      <c r="K150" s="65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8"/>
    </row>
    <row r="151" ht="15.75" customHeight="1">
      <c r="A151" s="65"/>
      <c r="B151" s="59"/>
      <c r="C151" s="218"/>
      <c r="D151" s="59"/>
      <c r="E151" s="65"/>
      <c r="F151" s="65"/>
      <c r="G151" s="65"/>
      <c r="H151" s="65"/>
      <c r="I151" s="65"/>
      <c r="J151" s="65"/>
      <c r="K151" s="65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8"/>
    </row>
    <row r="152" ht="15.75" customHeight="1">
      <c r="A152" s="65"/>
      <c r="B152" s="59"/>
      <c r="C152" s="219"/>
      <c r="D152" s="59"/>
      <c r="E152" s="65"/>
      <c r="F152" s="65"/>
      <c r="G152" s="65"/>
      <c r="H152" s="65"/>
      <c r="I152" s="65"/>
      <c r="J152" s="65"/>
      <c r="K152" s="65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8"/>
    </row>
    <row r="153" ht="15.75" customHeight="1">
      <c r="A153" s="65"/>
      <c r="B153" s="59"/>
      <c r="C153" s="218"/>
      <c r="D153" s="59"/>
      <c r="E153" s="65"/>
      <c r="F153" s="65"/>
      <c r="G153" s="65"/>
      <c r="H153" s="65"/>
      <c r="I153" s="65"/>
      <c r="J153" s="65"/>
      <c r="K153" s="65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8"/>
    </row>
    <row r="154" ht="15.75" customHeight="1">
      <c r="A154" s="65"/>
      <c r="B154" s="59"/>
      <c r="C154" s="220"/>
      <c r="D154" s="59"/>
      <c r="E154" s="65"/>
      <c r="F154" s="65"/>
      <c r="G154" s="65"/>
      <c r="H154" s="65"/>
      <c r="I154" s="65"/>
      <c r="J154" s="65"/>
      <c r="K154" s="65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8"/>
    </row>
    <row r="155" ht="15.75" customHeight="1">
      <c r="A155" s="65"/>
      <c r="B155" s="59"/>
      <c r="C155" s="65"/>
      <c r="D155" s="59"/>
      <c r="E155" s="65"/>
      <c r="F155" s="65"/>
      <c r="G155" s="65"/>
      <c r="H155" s="65"/>
      <c r="I155" s="65"/>
      <c r="J155" s="65"/>
      <c r="K155" s="65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8"/>
    </row>
    <row r="156" ht="15.75" customHeight="1">
      <c r="A156" s="65"/>
      <c r="B156" s="59"/>
      <c r="C156" s="207"/>
      <c r="D156" s="59"/>
      <c r="E156" s="65"/>
      <c r="F156" s="65"/>
      <c r="G156" s="65"/>
      <c r="H156" s="65"/>
      <c r="I156" s="65"/>
      <c r="J156" s="65"/>
      <c r="K156" s="65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8"/>
    </row>
    <row r="157" ht="15.75" customHeight="1">
      <c r="A157" s="65"/>
      <c r="B157" s="59"/>
      <c r="C157" s="207"/>
      <c r="D157" s="59"/>
      <c r="E157" s="65"/>
      <c r="F157" s="65"/>
      <c r="G157" s="65"/>
      <c r="H157" s="65"/>
      <c r="I157" s="65"/>
      <c r="J157" s="65"/>
      <c r="K157" s="65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8"/>
    </row>
    <row r="158" ht="15.75" customHeight="1">
      <c r="A158" s="65"/>
      <c r="B158" s="59"/>
      <c r="C158" s="207"/>
      <c r="D158" s="59"/>
      <c r="E158" s="65"/>
      <c r="F158" s="65"/>
      <c r="G158" s="65"/>
      <c r="H158" s="65"/>
      <c r="I158" s="65"/>
      <c r="J158" s="65"/>
      <c r="K158" s="65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8"/>
    </row>
    <row r="159" ht="15.75" customHeight="1">
      <c r="A159" s="65"/>
      <c r="B159" s="59"/>
      <c r="C159" s="207"/>
      <c r="D159" s="59"/>
      <c r="E159" s="65"/>
      <c r="F159" s="65"/>
      <c r="G159" s="65"/>
      <c r="H159" s="65"/>
      <c r="I159" s="65"/>
      <c r="J159" s="65"/>
      <c r="K159" s="65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8"/>
    </row>
    <row r="160" ht="15.75" customHeight="1">
      <c r="A160" s="65"/>
      <c r="B160" s="59"/>
      <c r="C160" s="207"/>
      <c r="D160" s="59"/>
      <c r="E160" s="65"/>
      <c r="F160" s="65"/>
      <c r="G160" s="65"/>
      <c r="H160" s="65"/>
      <c r="I160" s="65"/>
      <c r="J160" s="65"/>
      <c r="K160" s="65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8"/>
    </row>
    <row r="161" ht="15.75" customHeight="1">
      <c r="A161" s="65"/>
      <c r="B161" s="59"/>
      <c r="C161" s="207"/>
      <c r="D161" s="59"/>
      <c r="E161" s="65"/>
      <c r="F161" s="65"/>
      <c r="G161" s="65"/>
      <c r="H161" s="65"/>
      <c r="I161" s="65"/>
      <c r="J161" s="65"/>
      <c r="K161" s="65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8"/>
    </row>
    <row r="162" ht="15.75" customHeight="1">
      <c r="A162" s="65"/>
      <c r="B162" s="59"/>
      <c r="C162" s="207"/>
      <c r="D162" s="59"/>
      <c r="E162" s="65"/>
      <c r="F162" s="65"/>
      <c r="G162" s="65"/>
      <c r="H162" s="65"/>
      <c r="I162" s="65"/>
      <c r="J162" s="65"/>
      <c r="K162" s="65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8"/>
    </row>
    <row r="163" ht="15.75" customHeight="1">
      <c r="A163" s="65"/>
      <c r="B163" s="59"/>
      <c r="C163" s="207"/>
      <c r="D163" s="59"/>
      <c r="E163" s="65"/>
      <c r="F163" s="65"/>
      <c r="G163" s="65"/>
      <c r="H163" s="65"/>
      <c r="I163" s="65"/>
      <c r="J163" s="65"/>
      <c r="K163" s="65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8"/>
    </row>
    <row r="164" ht="15.75" customHeight="1">
      <c r="A164" s="65"/>
      <c r="B164" s="59"/>
      <c r="C164" s="207"/>
      <c r="D164" s="59"/>
      <c r="E164" s="65"/>
      <c r="F164" s="65"/>
      <c r="G164" s="65"/>
      <c r="H164" s="65"/>
      <c r="I164" s="65"/>
      <c r="J164" s="65"/>
      <c r="K164" s="65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8"/>
    </row>
    <row r="165" ht="15.75" customHeight="1">
      <c r="A165" s="65"/>
      <c r="B165" s="59"/>
      <c r="C165" s="207"/>
      <c r="D165" s="59"/>
      <c r="E165" s="65"/>
      <c r="F165" s="65"/>
      <c r="G165" s="65"/>
      <c r="H165" s="65"/>
      <c r="I165" s="65"/>
      <c r="J165" s="65"/>
      <c r="K165" s="65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8"/>
    </row>
    <row r="166" ht="15.75" customHeight="1">
      <c r="A166" s="65"/>
      <c r="B166" s="59"/>
      <c r="C166" s="207"/>
      <c r="D166" s="59"/>
      <c r="E166" s="65"/>
      <c r="F166" s="65"/>
      <c r="G166" s="65"/>
      <c r="H166" s="65"/>
      <c r="I166" s="65"/>
      <c r="J166" s="65"/>
      <c r="K166" s="65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8"/>
    </row>
    <row r="167" ht="15.75" customHeight="1">
      <c r="A167" s="65"/>
      <c r="B167" s="59"/>
      <c r="C167" s="207"/>
      <c r="D167" s="59"/>
      <c r="E167" s="65"/>
      <c r="F167" s="65"/>
      <c r="G167" s="65"/>
      <c r="H167" s="65"/>
      <c r="I167" s="65"/>
      <c r="J167" s="65"/>
      <c r="K167" s="65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8"/>
    </row>
    <row r="168" ht="15.75" customHeight="1">
      <c r="A168" s="65"/>
      <c r="B168" s="59"/>
      <c r="C168" s="207"/>
      <c r="D168" s="59"/>
      <c r="E168" s="65"/>
      <c r="F168" s="65"/>
      <c r="G168" s="65"/>
      <c r="H168" s="65"/>
      <c r="I168" s="65"/>
      <c r="J168" s="65"/>
      <c r="K168" s="65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8"/>
    </row>
    <row r="169" ht="15.75" customHeight="1">
      <c r="A169" s="65"/>
      <c r="B169" s="59"/>
      <c r="C169" s="207"/>
      <c r="D169" s="59"/>
      <c r="E169" s="65"/>
      <c r="F169" s="65"/>
      <c r="G169" s="65"/>
      <c r="H169" s="65"/>
      <c r="I169" s="65"/>
      <c r="J169" s="65"/>
      <c r="K169" s="65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8"/>
    </row>
    <row r="170" ht="15.75" customHeight="1">
      <c r="A170" s="65"/>
      <c r="B170" s="59"/>
      <c r="C170" s="207"/>
      <c r="D170" s="59"/>
      <c r="E170" s="65"/>
      <c r="F170" s="65"/>
      <c r="G170" s="65"/>
      <c r="H170" s="65"/>
      <c r="I170" s="65"/>
      <c r="J170" s="65"/>
      <c r="K170" s="65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8"/>
    </row>
    <row r="171" ht="15.75" customHeight="1">
      <c r="A171" s="65"/>
      <c r="B171" s="59"/>
      <c r="C171" s="207"/>
      <c r="D171" s="59"/>
      <c r="E171" s="65"/>
      <c r="F171" s="65"/>
      <c r="G171" s="65"/>
      <c r="H171" s="65"/>
      <c r="I171" s="65"/>
      <c r="J171" s="65"/>
      <c r="K171" s="65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8"/>
    </row>
    <row r="172" ht="15.75" customHeight="1">
      <c r="A172" s="65"/>
      <c r="B172" s="59"/>
      <c r="C172" s="207"/>
      <c r="D172" s="59"/>
      <c r="E172" s="65"/>
      <c r="F172" s="65"/>
      <c r="G172" s="65"/>
      <c r="H172" s="65"/>
      <c r="I172" s="65"/>
      <c r="J172" s="65"/>
      <c r="K172" s="65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8"/>
    </row>
    <row r="173" ht="15.75" customHeight="1">
      <c r="A173" s="65"/>
      <c r="B173" s="59"/>
      <c r="C173" s="207"/>
      <c r="D173" s="59"/>
      <c r="E173" s="65"/>
      <c r="F173" s="65"/>
      <c r="G173" s="65"/>
      <c r="H173" s="65"/>
      <c r="I173" s="65"/>
      <c r="J173" s="65"/>
      <c r="K173" s="65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8"/>
    </row>
    <row r="174" ht="15.75" customHeight="1">
      <c r="A174" s="65"/>
      <c r="B174" s="59"/>
      <c r="C174" s="207"/>
      <c r="D174" s="59"/>
      <c r="E174" s="65"/>
      <c r="F174" s="65"/>
      <c r="G174" s="65"/>
      <c r="H174" s="65"/>
      <c r="I174" s="65"/>
      <c r="J174" s="65"/>
      <c r="K174" s="65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8"/>
    </row>
    <row r="175" ht="15.75" customHeight="1">
      <c r="A175" s="65"/>
      <c r="B175" s="59"/>
      <c r="C175" s="207"/>
      <c r="D175" s="59"/>
      <c r="E175" s="65"/>
      <c r="F175" s="65"/>
      <c r="G175" s="65"/>
      <c r="H175" s="65"/>
      <c r="I175" s="65"/>
      <c r="J175" s="65"/>
      <c r="K175" s="65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8"/>
    </row>
    <row r="176" ht="15.75" customHeight="1">
      <c r="A176" s="65"/>
      <c r="B176" s="59"/>
      <c r="C176" s="207"/>
      <c r="D176" s="59"/>
      <c r="E176" s="65"/>
      <c r="F176" s="65"/>
      <c r="G176" s="65"/>
      <c r="H176" s="65"/>
      <c r="I176" s="65"/>
      <c r="J176" s="65"/>
      <c r="K176" s="65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8"/>
    </row>
    <row r="177" ht="15.75" customHeight="1">
      <c r="A177" s="65"/>
      <c r="B177" s="59"/>
      <c r="C177" s="207"/>
      <c r="D177" s="59"/>
      <c r="E177" s="65"/>
      <c r="F177" s="65"/>
      <c r="G177" s="65"/>
      <c r="H177" s="65"/>
      <c r="I177" s="65"/>
      <c r="J177" s="65"/>
      <c r="K177" s="65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8"/>
    </row>
    <row r="178" ht="15.75" customHeight="1">
      <c r="A178" s="65"/>
      <c r="B178" s="59"/>
      <c r="C178" s="207"/>
      <c r="D178" s="59"/>
      <c r="E178" s="65"/>
      <c r="F178" s="65"/>
      <c r="G178" s="65"/>
      <c r="H178" s="65"/>
      <c r="I178" s="65"/>
      <c r="J178" s="65"/>
      <c r="K178" s="65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8"/>
    </row>
    <row r="179" ht="15.75" customHeight="1">
      <c r="A179" s="65"/>
      <c r="B179" s="59"/>
      <c r="C179" s="207"/>
      <c r="D179" s="59"/>
      <c r="E179" s="65"/>
      <c r="F179" s="65"/>
      <c r="G179" s="65"/>
      <c r="H179" s="65"/>
      <c r="I179" s="65"/>
      <c r="J179" s="65"/>
      <c r="K179" s="65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8"/>
    </row>
    <row r="180" ht="15.75" customHeight="1">
      <c r="A180" s="65"/>
      <c r="B180" s="59"/>
      <c r="C180" s="207"/>
      <c r="D180" s="59"/>
      <c r="E180" s="65"/>
      <c r="F180" s="65"/>
      <c r="G180" s="65"/>
      <c r="H180" s="65"/>
      <c r="I180" s="65"/>
      <c r="J180" s="65"/>
      <c r="K180" s="65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8"/>
    </row>
    <row r="181" ht="15.75" customHeight="1">
      <c r="A181" s="65"/>
      <c r="B181" s="59"/>
      <c r="C181" s="207"/>
      <c r="D181" s="59"/>
      <c r="E181" s="65"/>
      <c r="F181" s="65"/>
      <c r="G181" s="65"/>
      <c r="H181" s="65"/>
      <c r="I181" s="65"/>
      <c r="J181" s="65"/>
      <c r="K181" s="65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8"/>
    </row>
    <row r="182" ht="15.75" customHeight="1">
      <c r="A182" s="65"/>
      <c r="B182" s="59"/>
      <c r="C182" s="207"/>
      <c r="D182" s="59"/>
      <c r="E182" s="65"/>
      <c r="F182" s="65"/>
      <c r="G182" s="65"/>
      <c r="H182" s="65"/>
      <c r="I182" s="65"/>
      <c r="J182" s="65"/>
      <c r="K182" s="65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8"/>
    </row>
    <row r="183" ht="15.75" customHeight="1">
      <c r="A183" s="65"/>
      <c r="B183" s="59"/>
      <c r="C183" s="207"/>
      <c r="D183" s="59"/>
      <c r="E183" s="65"/>
      <c r="F183" s="65"/>
      <c r="G183" s="65"/>
      <c r="H183" s="65"/>
      <c r="I183" s="65"/>
      <c r="J183" s="65"/>
      <c r="K183" s="65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8"/>
    </row>
    <row r="184" ht="15.75" customHeight="1">
      <c r="A184" s="65"/>
      <c r="B184" s="59"/>
      <c r="C184" s="207"/>
      <c r="D184" s="59"/>
      <c r="E184" s="65"/>
      <c r="F184" s="65"/>
      <c r="G184" s="65"/>
      <c r="H184" s="65"/>
      <c r="I184" s="65"/>
      <c r="J184" s="65"/>
      <c r="K184" s="65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8"/>
    </row>
    <row r="185" ht="15.75" customHeight="1">
      <c r="A185" s="65"/>
      <c r="B185" s="59"/>
      <c r="C185" s="207"/>
      <c r="D185" s="59"/>
      <c r="E185" s="65"/>
      <c r="F185" s="65"/>
      <c r="G185" s="65"/>
      <c r="H185" s="65"/>
      <c r="I185" s="65"/>
      <c r="J185" s="65"/>
      <c r="K185" s="65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8"/>
    </row>
    <row r="186" ht="15.75" customHeight="1">
      <c r="A186" s="65"/>
      <c r="B186" s="59"/>
      <c r="C186" s="207"/>
      <c r="D186" s="59"/>
      <c r="E186" s="65"/>
      <c r="F186" s="65"/>
      <c r="G186" s="65"/>
      <c r="H186" s="65"/>
      <c r="I186" s="65"/>
      <c r="J186" s="65"/>
      <c r="K186" s="65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8"/>
    </row>
    <row r="187" ht="15.75" customHeight="1">
      <c r="A187" s="65"/>
      <c r="B187" s="59"/>
      <c r="C187" s="65"/>
      <c r="D187" s="59"/>
      <c r="E187" s="65"/>
      <c r="F187" s="65"/>
      <c r="G187" s="65"/>
      <c r="H187" s="65"/>
      <c r="I187" s="65"/>
      <c r="J187" s="65"/>
      <c r="K187" s="65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8"/>
    </row>
    <row r="188" ht="15.75" customHeight="1">
      <c r="A188" s="65"/>
      <c r="B188" s="59"/>
      <c r="C188" s="65"/>
      <c r="D188" s="59"/>
      <c r="E188" s="65"/>
      <c r="F188" s="65"/>
      <c r="G188" s="65"/>
      <c r="H188" s="65"/>
      <c r="I188" s="65"/>
      <c r="J188" s="65"/>
      <c r="K188" s="65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8"/>
    </row>
    <row r="189" ht="15.75" customHeight="1">
      <c r="A189" s="65"/>
      <c r="B189" s="59"/>
      <c r="C189" s="65"/>
      <c r="D189" s="59"/>
      <c r="E189" s="65"/>
      <c r="F189" s="65"/>
      <c r="G189" s="65"/>
      <c r="H189" s="65"/>
      <c r="I189" s="65"/>
      <c r="J189" s="65"/>
      <c r="K189" s="65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8"/>
    </row>
    <row r="190" ht="15.75" customHeight="1">
      <c r="A190" s="65"/>
      <c r="B190" s="59"/>
      <c r="C190" s="65"/>
      <c r="D190" s="59"/>
      <c r="E190" s="65"/>
      <c r="F190" s="65"/>
      <c r="G190" s="65"/>
      <c r="H190" s="65"/>
      <c r="I190" s="65"/>
      <c r="J190" s="65"/>
      <c r="K190" s="65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8"/>
    </row>
    <row r="191" ht="15.75" customHeight="1">
      <c r="A191" s="65"/>
      <c r="B191" s="59"/>
      <c r="C191" s="65"/>
      <c r="D191" s="59"/>
      <c r="E191" s="65"/>
      <c r="F191" s="65"/>
      <c r="G191" s="65"/>
      <c r="H191" s="65"/>
      <c r="I191" s="65"/>
      <c r="J191" s="65"/>
      <c r="K191" s="65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8"/>
    </row>
    <row r="192" ht="15.75" customHeight="1">
      <c r="A192" s="65"/>
      <c r="B192" s="59"/>
      <c r="C192" s="65"/>
      <c r="D192" s="59"/>
      <c r="E192" s="65"/>
      <c r="F192" s="65"/>
      <c r="G192" s="65"/>
      <c r="H192" s="65"/>
      <c r="I192" s="65"/>
      <c r="J192" s="65"/>
      <c r="K192" s="65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8"/>
    </row>
    <row r="193" ht="15.75" customHeight="1">
      <c r="A193" s="65"/>
      <c r="B193" s="59"/>
      <c r="C193" s="65"/>
      <c r="D193" s="59"/>
      <c r="E193" s="65"/>
      <c r="F193" s="65"/>
      <c r="G193" s="65"/>
      <c r="H193" s="65"/>
      <c r="I193" s="65"/>
      <c r="J193" s="65"/>
      <c r="K193" s="65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8"/>
    </row>
    <row r="194" ht="15.75" customHeight="1">
      <c r="A194" s="65"/>
      <c r="B194" s="59"/>
      <c r="C194" s="65"/>
      <c r="D194" s="59"/>
      <c r="E194" s="65"/>
      <c r="F194" s="65"/>
      <c r="G194" s="65"/>
      <c r="H194" s="65"/>
      <c r="I194" s="65"/>
      <c r="J194" s="65"/>
      <c r="K194" s="65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8"/>
    </row>
    <row r="195" ht="15.75" customHeight="1">
      <c r="A195" s="65"/>
      <c r="B195" s="59"/>
      <c r="C195" s="65"/>
      <c r="D195" s="59"/>
      <c r="E195" s="65"/>
      <c r="F195" s="65"/>
      <c r="G195" s="65"/>
      <c r="H195" s="65"/>
      <c r="I195" s="65"/>
      <c r="J195" s="65"/>
      <c r="K195" s="65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8"/>
    </row>
    <row r="196" ht="15.75" customHeight="1">
      <c r="A196" s="65"/>
      <c r="B196" s="59"/>
      <c r="C196" s="65"/>
      <c r="D196" s="59"/>
      <c r="E196" s="65"/>
      <c r="F196" s="65"/>
      <c r="G196" s="65"/>
      <c r="H196" s="65"/>
      <c r="I196" s="65"/>
      <c r="J196" s="65"/>
      <c r="K196" s="65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8"/>
    </row>
    <row r="197" ht="15.75" customHeight="1">
      <c r="A197" s="65"/>
      <c r="B197" s="59"/>
      <c r="C197" s="65"/>
      <c r="D197" s="59"/>
      <c r="E197" s="65"/>
      <c r="F197" s="65"/>
      <c r="G197" s="65"/>
      <c r="H197" s="65"/>
      <c r="I197" s="65"/>
      <c r="J197" s="65"/>
      <c r="K197" s="65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8"/>
    </row>
    <row r="198" ht="15.75" customHeight="1">
      <c r="A198" s="65"/>
      <c r="B198" s="59"/>
      <c r="C198" s="65"/>
      <c r="D198" s="59"/>
      <c r="E198" s="65"/>
      <c r="F198" s="65"/>
      <c r="G198" s="65"/>
      <c r="H198" s="65"/>
      <c r="I198" s="65"/>
      <c r="J198" s="65"/>
      <c r="K198" s="65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8"/>
    </row>
    <row r="199" ht="15.75" customHeight="1">
      <c r="A199" s="65"/>
      <c r="B199" s="59"/>
      <c r="C199" s="65"/>
      <c r="D199" s="59"/>
      <c r="E199" s="65"/>
      <c r="F199" s="65"/>
      <c r="G199" s="65"/>
      <c r="H199" s="65"/>
      <c r="I199" s="65"/>
      <c r="J199" s="65"/>
      <c r="K199" s="65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8"/>
    </row>
    <row r="200" ht="15.75" customHeight="1">
      <c r="A200" s="65"/>
      <c r="B200" s="59"/>
      <c r="C200" s="65"/>
      <c r="D200" s="59"/>
      <c r="E200" s="65"/>
      <c r="F200" s="65"/>
      <c r="G200" s="65"/>
      <c r="H200" s="65"/>
      <c r="I200" s="65"/>
      <c r="J200" s="65"/>
      <c r="K200" s="65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8"/>
    </row>
    <row r="201" ht="15.75" customHeight="1">
      <c r="A201" s="65"/>
      <c r="B201" s="59"/>
      <c r="C201" s="65"/>
      <c r="D201" s="59"/>
      <c r="E201" s="65"/>
      <c r="F201" s="65"/>
      <c r="G201" s="65"/>
      <c r="H201" s="65"/>
      <c r="I201" s="65"/>
      <c r="J201" s="65"/>
      <c r="K201" s="65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8"/>
    </row>
    <row r="202" ht="15.75" customHeight="1">
      <c r="A202" s="65"/>
      <c r="B202" s="59"/>
      <c r="C202" s="65"/>
      <c r="D202" s="59"/>
      <c r="E202" s="65"/>
      <c r="F202" s="65"/>
      <c r="G202" s="65"/>
      <c r="H202" s="65"/>
      <c r="I202" s="65"/>
      <c r="J202" s="65"/>
      <c r="K202" s="65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8"/>
    </row>
    <row r="203" ht="15.75" customHeight="1">
      <c r="A203" s="65"/>
      <c r="B203" s="59"/>
      <c r="C203" s="65"/>
      <c r="D203" s="59"/>
      <c r="E203" s="65"/>
      <c r="F203" s="65"/>
      <c r="G203" s="65"/>
      <c r="H203" s="65"/>
      <c r="I203" s="65"/>
      <c r="J203" s="65"/>
      <c r="K203" s="65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8"/>
    </row>
    <row r="204" ht="15.75" customHeight="1">
      <c r="A204" s="65"/>
      <c r="B204" s="59"/>
      <c r="C204" s="65"/>
      <c r="D204" s="59"/>
      <c r="E204" s="65"/>
      <c r="F204" s="65"/>
      <c r="G204" s="65"/>
      <c r="H204" s="65"/>
      <c r="I204" s="65"/>
      <c r="J204" s="65"/>
      <c r="K204" s="65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8"/>
    </row>
    <row r="205" ht="15.75" customHeight="1">
      <c r="A205" s="65"/>
      <c r="B205" s="59"/>
      <c r="C205" s="65"/>
      <c r="D205" s="59"/>
      <c r="E205" s="65"/>
      <c r="F205" s="65"/>
      <c r="G205" s="65"/>
      <c r="H205" s="65"/>
      <c r="I205" s="65"/>
      <c r="J205" s="65"/>
      <c r="K205" s="65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8"/>
    </row>
    <row r="206" ht="15.75" customHeight="1">
      <c r="A206" s="65"/>
      <c r="B206" s="59"/>
      <c r="C206" s="65"/>
      <c r="D206" s="59"/>
      <c r="E206" s="65"/>
      <c r="F206" s="65"/>
      <c r="G206" s="65"/>
      <c r="H206" s="65"/>
      <c r="I206" s="65"/>
      <c r="J206" s="65"/>
      <c r="K206" s="65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8"/>
    </row>
    <row r="207" ht="15.75" customHeight="1">
      <c r="A207" s="65"/>
      <c r="B207" s="59"/>
      <c r="C207" s="65"/>
      <c r="D207" s="59"/>
      <c r="E207" s="65"/>
      <c r="F207" s="65"/>
      <c r="G207" s="65"/>
      <c r="H207" s="65"/>
      <c r="I207" s="65"/>
      <c r="J207" s="65"/>
      <c r="K207" s="65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8"/>
    </row>
    <row r="208" ht="15.75" customHeight="1">
      <c r="A208" s="65"/>
      <c r="B208" s="59"/>
      <c r="C208" s="65"/>
      <c r="D208" s="59"/>
      <c r="E208" s="65"/>
      <c r="F208" s="65"/>
      <c r="G208" s="65"/>
      <c r="H208" s="65"/>
      <c r="I208" s="65"/>
      <c r="J208" s="65"/>
      <c r="K208" s="65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8"/>
    </row>
    <row r="209" ht="15.75" customHeight="1">
      <c r="A209" s="65"/>
      <c r="B209" s="59"/>
      <c r="C209" s="65"/>
      <c r="D209" s="59"/>
      <c r="E209" s="65"/>
      <c r="F209" s="65"/>
      <c r="G209" s="65"/>
      <c r="H209" s="65"/>
      <c r="I209" s="65"/>
      <c r="J209" s="65"/>
      <c r="K209" s="65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8"/>
    </row>
    <row r="210" ht="15.75" customHeight="1">
      <c r="A210" s="65"/>
      <c r="B210" s="59"/>
      <c r="C210" s="65"/>
      <c r="D210" s="59"/>
      <c r="E210" s="65"/>
      <c r="F210" s="65"/>
      <c r="G210" s="65"/>
      <c r="H210" s="65"/>
      <c r="I210" s="65"/>
      <c r="J210" s="65"/>
      <c r="K210" s="65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8"/>
    </row>
    <row r="211" ht="15.75" customHeight="1">
      <c r="A211" s="65"/>
      <c r="B211" s="59"/>
      <c r="C211" s="65"/>
      <c r="D211" s="59"/>
      <c r="E211" s="65"/>
      <c r="F211" s="65"/>
      <c r="G211" s="65"/>
      <c r="H211" s="65"/>
      <c r="I211" s="65"/>
      <c r="J211" s="65"/>
      <c r="K211" s="65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8"/>
    </row>
    <row r="212" ht="15.75" customHeight="1">
      <c r="A212" s="65"/>
      <c r="B212" s="59"/>
      <c r="C212" s="65"/>
      <c r="D212" s="59"/>
      <c r="E212" s="65"/>
      <c r="F212" s="65"/>
      <c r="G212" s="65"/>
      <c r="H212" s="65"/>
      <c r="I212" s="65"/>
      <c r="J212" s="65"/>
      <c r="K212" s="65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8"/>
    </row>
    <row r="213" ht="15.75" customHeight="1">
      <c r="A213" s="65"/>
      <c r="B213" s="59"/>
      <c r="C213" s="65"/>
      <c r="D213" s="59"/>
      <c r="E213" s="65"/>
      <c r="F213" s="65"/>
      <c r="G213" s="65"/>
      <c r="H213" s="65"/>
      <c r="I213" s="65"/>
      <c r="J213" s="65"/>
      <c r="K213" s="65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8"/>
    </row>
    <row r="214" ht="15.75" customHeight="1">
      <c r="A214" s="65"/>
      <c r="B214" s="59"/>
      <c r="C214" s="65"/>
      <c r="D214" s="59"/>
      <c r="E214" s="65"/>
      <c r="F214" s="65"/>
      <c r="G214" s="65"/>
      <c r="H214" s="65"/>
      <c r="I214" s="65"/>
      <c r="J214" s="65"/>
      <c r="K214" s="65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8"/>
    </row>
    <row r="215" ht="15.75" customHeight="1">
      <c r="A215" s="65"/>
      <c r="B215" s="59"/>
      <c r="C215" s="65"/>
      <c r="D215" s="59"/>
      <c r="E215" s="65"/>
      <c r="F215" s="65"/>
      <c r="G215" s="65"/>
      <c r="H215" s="65"/>
      <c r="I215" s="65"/>
      <c r="J215" s="65"/>
      <c r="K215" s="65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8"/>
    </row>
    <row r="216" ht="15.75" customHeight="1">
      <c r="A216" s="65"/>
      <c r="B216" s="59"/>
      <c r="C216" s="65"/>
      <c r="D216" s="59"/>
      <c r="E216" s="65"/>
      <c r="F216" s="65"/>
      <c r="G216" s="65"/>
      <c r="H216" s="65"/>
      <c r="I216" s="65"/>
      <c r="J216" s="65"/>
      <c r="K216" s="65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8"/>
    </row>
    <row r="217" ht="15.75" customHeight="1">
      <c r="A217" s="65"/>
      <c r="B217" s="59"/>
      <c r="C217" s="65"/>
      <c r="D217" s="59"/>
      <c r="E217" s="65"/>
      <c r="F217" s="65"/>
      <c r="G217" s="65"/>
      <c r="H217" s="65"/>
      <c r="I217" s="65"/>
      <c r="J217" s="65"/>
      <c r="K217" s="65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8"/>
    </row>
    <row r="218" ht="15.75" customHeight="1">
      <c r="A218" s="65"/>
      <c r="B218" s="59"/>
      <c r="C218" s="65"/>
      <c r="D218" s="59"/>
      <c r="E218" s="65"/>
      <c r="F218" s="65"/>
      <c r="G218" s="65"/>
      <c r="H218" s="65"/>
      <c r="I218" s="65"/>
      <c r="J218" s="65"/>
      <c r="K218" s="65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8"/>
    </row>
    <row r="219" ht="15.75" customHeight="1">
      <c r="A219" s="65"/>
      <c r="B219" s="59"/>
      <c r="C219" s="65"/>
      <c r="D219" s="59"/>
      <c r="E219" s="65"/>
      <c r="F219" s="65"/>
      <c r="G219" s="65"/>
      <c r="H219" s="65"/>
      <c r="I219" s="65"/>
      <c r="J219" s="65"/>
      <c r="K219" s="65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8"/>
    </row>
    <row r="220" ht="15.75" customHeight="1">
      <c r="A220" s="65"/>
      <c r="B220" s="59"/>
      <c r="C220" s="65"/>
      <c r="D220" s="59"/>
      <c r="E220" s="65"/>
      <c r="F220" s="65"/>
      <c r="G220" s="65"/>
      <c r="H220" s="65"/>
      <c r="I220" s="65"/>
      <c r="J220" s="65"/>
      <c r="K220" s="65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8"/>
    </row>
    <row r="221" ht="15.75" customHeight="1">
      <c r="A221" s="65"/>
      <c r="B221" s="59"/>
      <c r="C221" s="65"/>
      <c r="D221" s="59"/>
      <c r="E221" s="65"/>
      <c r="F221" s="65"/>
      <c r="G221" s="65"/>
      <c r="H221" s="65"/>
      <c r="I221" s="65"/>
      <c r="J221" s="65"/>
      <c r="K221" s="65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8"/>
    </row>
    <row r="222" ht="15.75" customHeight="1">
      <c r="A222" s="65"/>
      <c r="B222" s="59"/>
      <c r="C222" s="65"/>
      <c r="D222" s="59"/>
      <c r="E222" s="65"/>
      <c r="F222" s="65"/>
      <c r="G222" s="65"/>
      <c r="H222" s="65"/>
      <c r="I222" s="65"/>
      <c r="J222" s="65"/>
      <c r="K222" s="65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8"/>
    </row>
    <row r="223" ht="15.75" customHeight="1">
      <c r="A223" s="65"/>
      <c r="B223" s="59"/>
      <c r="C223" s="65"/>
      <c r="D223" s="59"/>
      <c r="E223" s="65"/>
      <c r="F223" s="65"/>
      <c r="G223" s="65"/>
      <c r="H223" s="65"/>
      <c r="I223" s="65"/>
      <c r="J223" s="65"/>
      <c r="K223" s="65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8"/>
    </row>
    <row r="224" ht="15.75" customHeight="1">
      <c r="A224" s="65"/>
      <c r="B224" s="59"/>
      <c r="C224" s="65"/>
      <c r="D224" s="59"/>
      <c r="E224" s="65"/>
      <c r="F224" s="65"/>
      <c r="G224" s="65"/>
      <c r="H224" s="65"/>
      <c r="I224" s="65"/>
      <c r="J224" s="65"/>
      <c r="K224" s="65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8"/>
    </row>
    <row r="225" ht="15.75" customHeight="1">
      <c r="A225" s="65"/>
      <c r="B225" s="59"/>
      <c r="C225" s="65"/>
      <c r="D225" s="59"/>
      <c r="E225" s="65"/>
      <c r="F225" s="65"/>
      <c r="G225" s="65"/>
      <c r="H225" s="65"/>
      <c r="I225" s="65"/>
      <c r="J225" s="65"/>
    </row>
    <row r="226" ht="15.75" customHeight="1">
      <c r="A226" s="65"/>
      <c r="B226" s="59"/>
      <c r="C226" s="65"/>
      <c r="D226" s="59"/>
      <c r="E226" s="65"/>
      <c r="F226" s="65"/>
      <c r="G226" s="65"/>
      <c r="H226" s="65"/>
      <c r="I226" s="65"/>
      <c r="J226" s="65"/>
    </row>
    <row r="227" ht="15.75" customHeight="1">
      <c r="A227" s="65"/>
      <c r="B227" s="59"/>
      <c r="C227" s="65"/>
      <c r="D227" s="59"/>
      <c r="E227" s="65"/>
      <c r="F227" s="65"/>
      <c r="G227" s="65"/>
      <c r="H227" s="65"/>
      <c r="I227" s="65"/>
      <c r="J227" s="65"/>
    </row>
    <row r="228" ht="15.75" customHeight="1">
      <c r="A228" s="65"/>
      <c r="B228" s="59"/>
      <c r="C228" s="65"/>
      <c r="D228" s="59"/>
      <c r="E228" s="65"/>
      <c r="F228" s="65"/>
      <c r="G228" s="65"/>
      <c r="H228" s="65"/>
      <c r="I228" s="65"/>
      <c r="J228" s="65"/>
    </row>
    <row r="229" ht="15.75" customHeight="1">
      <c r="A229" s="65"/>
      <c r="B229" s="59"/>
      <c r="C229" s="65"/>
      <c r="D229" s="59"/>
      <c r="E229" s="65"/>
      <c r="F229" s="65"/>
      <c r="G229" s="65"/>
      <c r="H229" s="65"/>
      <c r="I229" s="65"/>
      <c r="J229" s="65"/>
    </row>
    <row r="230" ht="15.75" customHeight="1">
      <c r="A230" s="65"/>
      <c r="B230" s="59"/>
      <c r="C230" s="65"/>
      <c r="D230" s="59"/>
      <c r="E230" s="65"/>
      <c r="F230" s="65"/>
      <c r="G230" s="65"/>
      <c r="H230" s="65"/>
      <c r="I230" s="65"/>
      <c r="J230" s="65"/>
    </row>
    <row r="231" ht="15.75" customHeight="1">
      <c r="A231" s="65"/>
      <c r="B231" s="59"/>
      <c r="C231" s="65"/>
      <c r="D231" s="59"/>
      <c r="E231" s="65"/>
      <c r="F231" s="65"/>
      <c r="G231" s="65"/>
      <c r="H231" s="65"/>
      <c r="I231" s="65"/>
      <c r="J231" s="65"/>
    </row>
    <row r="232" ht="15.75" customHeight="1">
      <c r="A232" s="65"/>
      <c r="B232" s="59"/>
      <c r="C232" s="65"/>
      <c r="D232" s="59"/>
      <c r="E232" s="65"/>
      <c r="F232" s="65"/>
      <c r="G232" s="65"/>
      <c r="H232" s="65"/>
      <c r="I232" s="65"/>
      <c r="J232" s="65"/>
    </row>
    <row r="233" ht="15.75" customHeight="1">
      <c r="A233" s="65"/>
      <c r="B233" s="59"/>
      <c r="C233" s="65"/>
      <c r="D233" s="59"/>
      <c r="E233" s="65"/>
      <c r="F233" s="65"/>
      <c r="G233" s="65"/>
      <c r="H233" s="65"/>
      <c r="I233" s="65"/>
      <c r="J233" s="65"/>
    </row>
    <row r="234" ht="15.75" customHeight="1">
      <c r="A234" s="65"/>
      <c r="B234" s="59"/>
      <c r="C234" s="65"/>
      <c r="D234" s="59"/>
      <c r="E234" s="65"/>
      <c r="F234" s="65"/>
      <c r="G234" s="65"/>
      <c r="H234" s="65"/>
      <c r="I234" s="65"/>
      <c r="J234" s="65"/>
    </row>
    <row r="235" ht="15.75" customHeight="1">
      <c r="A235" s="65"/>
      <c r="B235" s="59"/>
      <c r="C235" s="65"/>
      <c r="D235" s="59"/>
      <c r="E235" s="65"/>
      <c r="F235" s="65"/>
      <c r="G235" s="65"/>
      <c r="H235" s="65"/>
      <c r="I235" s="65"/>
      <c r="J235" s="65"/>
    </row>
    <row r="236" ht="15.75" customHeight="1">
      <c r="A236" s="65"/>
      <c r="B236" s="59"/>
      <c r="C236" s="65"/>
      <c r="D236" s="59"/>
      <c r="E236" s="65"/>
      <c r="F236" s="65"/>
      <c r="G236" s="65"/>
      <c r="H236" s="65"/>
      <c r="I236" s="65"/>
      <c r="J236" s="65"/>
    </row>
    <row r="237" ht="15.75" customHeight="1">
      <c r="A237" s="65"/>
      <c r="B237" s="59"/>
      <c r="C237" s="65"/>
      <c r="D237" s="59"/>
      <c r="E237" s="65"/>
      <c r="F237" s="65"/>
      <c r="G237" s="65"/>
      <c r="H237" s="65"/>
      <c r="I237" s="65"/>
      <c r="J237" s="65"/>
    </row>
    <row r="238" ht="15.75" customHeight="1">
      <c r="A238" s="65"/>
      <c r="B238" s="59"/>
      <c r="C238" s="65"/>
      <c r="D238" s="59"/>
      <c r="E238" s="65"/>
      <c r="F238" s="65"/>
      <c r="G238" s="65"/>
      <c r="H238" s="65"/>
      <c r="I238" s="65"/>
      <c r="J238" s="65"/>
    </row>
    <row r="239" ht="15.75" customHeight="1">
      <c r="A239" s="65"/>
      <c r="B239" s="59"/>
      <c r="C239" s="65"/>
      <c r="D239" s="59"/>
      <c r="E239" s="65"/>
      <c r="F239" s="65"/>
      <c r="G239" s="65"/>
      <c r="H239" s="65"/>
      <c r="I239" s="65"/>
      <c r="J239" s="65"/>
    </row>
    <row r="240" ht="15.75" customHeight="1">
      <c r="A240" s="65"/>
      <c r="B240" s="59"/>
      <c r="C240" s="65"/>
      <c r="D240" s="59"/>
      <c r="E240" s="65"/>
      <c r="F240" s="65"/>
      <c r="G240" s="65"/>
      <c r="H240" s="65"/>
      <c r="I240" s="65"/>
      <c r="J240" s="65"/>
    </row>
    <row r="241" ht="15.75" customHeight="1">
      <c r="A241" s="65"/>
      <c r="B241" s="59"/>
      <c r="C241" s="65"/>
      <c r="D241" s="59"/>
      <c r="E241" s="65"/>
      <c r="F241" s="65"/>
      <c r="G241" s="65"/>
      <c r="H241" s="65"/>
      <c r="I241" s="65"/>
      <c r="J241" s="65"/>
    </row>
    <row r="242" ht="15.75" customHeight="1">
      <c r="A242" s="65"/>
      <c r="B242" s="59"/>
      <c r="C242" s="65"/>
      <c r="D242" s="59"/>
      <c r="E242" s="65"/>
      <c r="F242" s="65"/>
      <c r="G242" s="65"/>
      <c r="H242" s="65"/>
      <c r="I242" s="65"/>
      <c r="J242" s="65"/>
    </row>
    <row r="243" ht="15.75" customHeight="1">
      <c r="A243" s="65"/>
      <c r="B243" s="59"/>
      <c r="C243" s="65"/>
      <c r="D243" s="59"/>
      <c r="E243" s="65"/>
      <c r="F243" s="65"/>
      <c r="G243" s="65"/>
      <c r="H243" s="65"/>
      <c r="I243" s="65"/>
      <c r="J243" s="65"/>
    </row>
    <row r="244" ht="15.75" customHeight="1">
      <c r="A244" s="65"/>
      <c r="B244" s="59"/>
      <c r="C244" s="65"/>
      <c r="D244" s="59"/>
      <c r="E244" s="65"/>
      <c r="F244" s="65"/>
      <c r="G244" s="65"/>
      <c r="H244" s="65"/>
      <c r="I244" s="65"/>
      <c r="J244" s="65"/>
    </row>
    <row r="245" ht="15.75" customHeight="1">
      <c r="A245" s="65"/>
      <c r="B245" s="59"/>
      <c r="C245" s="65"/>
      <c r="D245" s="59"/>
      <c r="E245" s="65"/>
      <c r="F245" s="65"/>
      <c r="G245" s="65"/>
      <c r="H245" s="65"/>
      <c r="I245" s="65"/>
      <c r="J245" s="65"/>
    </row>
    <row r="246" ht="15.75" customHeight="1">
      <c r="A246" s="65"/>
      <c r="B246" s="59"/>
      <c r="C246" s="65"/>
      <c r="D246" s="59"/>
      <c r="E246" s="65"/>
      <c r="F246" s="65"/>
      <c r="G246" s="65"/>
      <c r="H246" s="65"/>
      <c r="I246" s="65"/>
      <c r="J246" s="65"/>
    </row>
    <row r="247" ht="15.75" customHeight="1">
      <c r="A247" s="65"/>
      <c r="B247" s="59"/>
      <c r="C247" s="65"/>
      <c r="D247" s="59"/>
      <c r="E247" s="65"/>
      <c r="F247" s="65"/>
      <c r="G247" s="65"/>
      <c r="H247" s="65"/>
      <c r="I247" s="65"/>
      <c r="J247" s="65"/>
    </row>
    <row r="248" ht="15.75" customHeight="1">
      <c r="A248" s="65"/>
      <c r="B248" s="59"/>
      <c r="C248" s="65"/>
      <c r="D248" s="59"/>
      <c r="E248" s="65"/>
      <c r="F248" s="65"/>
      <c r="G248" s="65"/>
      <c r="H248" s="65"/>
      <c r="I248" s="65"/>
      <c r="J248" s="65"/>
    </row>
    <row r="249" ht="15.75" customHeight="1">
      <c r="A249" s="65"/>
      <c r="B249" s="59"/>
      <c r="C249" s="65"/>
      <c r="D249" s="59"/>
      <c r="E249" s="65"/>
      <c r="F249" s="65"/>
      <c r="G249" s="65"/>
      <c r="H249" s="65"/>
      <c r="I249" s="65"/>
      <c r="J249" s="65"/>
    </row>
    <row r="250" ht="15.75" customHeight="1">
      <c r="A250" s="65"/>
      <c r="B250" s="59"/>
      <c r="C250" s="65"/>
      <c r="D250" s="59"/>
      <c r="E250" s="65"/>
      <c r="F250" s="65"/>
      <c r="G250" s="65"/>
      <c r="H250" s="65"/>
      <c r="I250" s="65"/>
      <c r="J250" s="65"/>
    </row>
    <row r="251" ht="15.75" customHeight="1">
      <c r="A251" s="65"/>
      <c r="B251" s="59"/>
      <c r="C251" s="65"/>
      <c r="D251" s="59"/>
      <c r="E251" s="65"/>
      <c r="F251" s="65"/>
      <c r="G251" s="65"/>
      <c r="H251" s="65"/>
      <c r="I251" s="65"/>
      <c r="J251" s="65"/>
    </row>
    <row r="252" ht="15.75" customHeight="1">
      <c r="A252" s="65"/>
      <c r="B252" s="59"/>
      <c r="C252" s="65"/>
      <c r="D252" s="59"/>
      <c r="E252" s="65"/>
      <c r="F252" s="65"/>
      <c r="G252" s="65"/>
      <c r="H252" s="65"/>
      <c r="I252" s="65"/>
      <c r="J252" s="65"/>
    </row>
    <row r="253" ht="15.75" customHeight="1">
      <c r="A253" s="65"/>
      <c r="B253" s="59"/>
      <c r="C253" s="65"/>
      <c r="D253" s="59"/>
      <c r="E253" s="65"/>
      <c r="F253" s="65"/>
      <c r="G253" s="65"/>
      <c r="H253" s="65"/>
      <c r="I253" s="65"/>
      <c r="J253" s="65"/>
    </row>
    <row r="254" ht="15.75" customHeight="1">
      <c r="A254" s="65"/>
      <c r="B254" s="59"/>
      <c r="C254" s="65"/>
      <c r="D254" s="59"/>
      <c r="E254" s="65"/>
      <c r="F254" s="65"/>
      <c r="G254" s="65"/>
      <c r="H254" s="65"/>
      <c r="I254" s="65"/>
      <c r="J254" s="65"/>
    </row>
    <row r="255" ht="15.75" customHeight="1">
      <c r="A255" s="65"/>
      <c r="B255" s="59"/>
      <c r="C255" s="65"/>
      <c r="D255" s="59"/>
      <c r="E255" s="65"/>
      <c r="F255" s="65"/>
      <c r="G255" s="65"/>
      <c r="H255" s="65"/>
      <c r="I255" s="65"/>
      <c r="J255" s="65"/>
    </row>
    <row r="256" ht="15.75" customHeight="1">
      <c r="A256" s="65"/>
      <c r="B256" s="59"/>
      <c r="C256" s="65"/>
      <c r="D256" s="59"/>
      <c r="E256" s="65"/>
      <c r="F256" s="65"/>
      <c r="G256" s="65"/>
      <c r="H256" s="65"/>
      <c r="I256" s="65"/>
      <c r="J256" s="65"/>
    </row>
    <row r="257" ht="15.75" customHeight="1">
      <c r="A257" s="65"/>
      <c r="B257" s="59"/>
      <c r="C257" s="65"/>
      <c r="D257" s="211"/>
    </row>
    <row r="258" ht="15.75" customHeight="1">
      <c r="A258" s="65"/>
      <c r="B258" s="59"/>
      <c r="C258" s="65"/>
      <c r="D258" s="211"/>
    </row>
    <row r="259" ht="15.75" customHeight="1">
      <c r="A259" s="65"/>
      <c r="B259" s="59"/>
      <c r="C259" s="65"/>
      <c r="D259" s="211"/>
    </row>
    <row r="260" ht="15.75" customHeight="1">
      <c r="A260" s="127"/>
      <c r="B260" s="211"/>
      <c r="D260" s="211"/>
    </row>
    <row r="261" ht="15.75" customHeight="1">
      <c r="A261" s="127"/>
      <c r="B261" s="211"/>
      <c r="D261" s="211"/>
    </row>
    <row r="262" ht="15.75" customHeight="1">
      <c r="A262" s="127"/>
      <c r="B262" s="211"/>
      <c r="D262" s="211"/>
    </row>
    <row r="263" ht="15.75" customHeight="1">
      <c r="A263" s="127"/>
      <c r="B263" s="211"/>
      <c r="D263" s="211"/>
    </row>
    <row r="264" ht="15.75" customHeight="1">
      <c r="A264" s="127"/>
      <c r="B264" s="211"/>
      <c r="D264" s="211"/>
    </row>
    <row r="265" ht="15.75" customHeight="1">
      <c r="A265" s="127"/>
      <c r="B265" s="211"/>
      <c r="D265" s="211"/>
    </row>
    <row r="266" ht="15.75" customHeight="1">
      <c r="A266" s="127"/>
      <c r="B266" s="211"/>
      <c r="D266" s="211"/>
    </row>
    <row r="267" ht="15.75" customHeight="1">
      <c r="A267" s="127"/>
      <c r="B267" s="211"/>
      <c r="D267" s="211"/>
    </row>
    <row r="268" ht="15.75" customHeight="1">
      <c r="A268" s="127"/>
      <c r="B268" s="211"/>
      <c r="D268" s="211"/>
    </row>
    <row r="269" ht="15.75" customHeight="1">
      <c r="A269" s="127"/>
      <c r="B269" s="211"/>
      <c r="D269" s="211"/>
    </row>
    <row r="270" ht="15.75" customHeight="1">
      <c r="A270" s="127"/>
      <c r="B270" s="211"/>
      <c r="D270" s="211"/>
    </row>
    <row r="271" ht="15.75" customHeight="1">
      <c r="A271" s="127"/>
      <c r="B271" s="211"/>
      <c r="D271" s="211"/>
    </row>
    <row r="272" ht="15.75" customHeight="1">
      <c r="A272" s="127"/>
      <c r="B272" s="211"/>
      <c r="D272" s="211"/>
    </row>
    <row r="273" ht="15.75" customHeight="1">
      <c r="A273" s="127"/>
      <c r="B273" s="211"/>
      <c r="D273" s="211"/>
    </row>
    <row r="274" ht="15.75" customHeight="1">
      <c r="A274" s="127"/>
      <c r="B274" s="211"/>
      <c r="D274" s="211"/>
    </row>
    <row r="275" ht="15.75" customHeight="1">
      <c r="A275" s="127"/>
      <c r="B275" s="211"/>
      <c r="D275" s="211"/>
    </row>
    <row r="276" ht="15.75" customHeight="1">
      <c r="A276" s="127"/>
      <c r="B276" s="211"/>
      <c r="D276" s="211"/>
    </row>
    <row r="277" ht="15.75" customHeight="1">
      <c r="A277" s="127"/>
      <c r="B277" s="211"/>
      <c r="D277" s="211"/>
    </row>
    <row r="278" ht="15.75" customHeight="1">
      <c r="A278" s="127"/>
      <c r="B278" s="211"/>
      <c r="D278" s="211"/>
    </row>
    <row r="279" ht="15.75" customHeight="1">
      <c r="A279" s="127"/>
      <c r="B279" s="211"/>
      <c r="D279" s="211"/>
    </row>
    <row r="280" ht="15.75" customHeight="1">
      <c r="A280" s="127"/>
      <c r="B280" s="211"/>
      <c r="D280" s="211"/>
    </row>
    <row r="281" ht="15.75" customHeight="1">
      <c r="A281" s="127"/>
      <c r="B281" s="211"/>
      <c r="D281" s="211"/>
    </row>
    <row r="282" ht="15.75" customHeight="1">
      <c r="A282" s="127"/>
      <c r="B282" s="211"/>
      <c r="D282" s="211"/>
    </row>
    <row r="283" ht="15.75" customHeight="1">
      <c r="A283" s="127"/>
      <c r="B283" s="211"/>
      <c r="D283" s="211"/>
    </row>
    <row r="284" ht="15.75" customHeight="1">
      <c r="A284" s="127"/>
      <c r="B284" s="211"/>
      <c r="D284" s="211"/>
    </row>
    <row r="285" ht="15.75" customHeight="1">
      <c r="A285" s="127"/>
      <c r="B285" s="211"/>
      <c r="D285" s="211"/>
    </row>
    <row r="286" ht="15.75" customHeight="1">
      <c r="A286" s="127"/>
      <c r="B286" s="211"/>
      <c r="D286" s="211"/>
    </row>
    <row r="287" ht="15.75" customHeight="1">
      <c r="A287" s="127"/>
      <c r="B287" s="211"/>
      <c r="D287" s="211"/>
    </row>
    <row r="288" ht="15.75" customHeight="1">
      <c r="A288" s="127"/>
      <c r="B288" s="211"/>
      <c r="D288" s="211"/>
    </row>
    <row r="289" ht="15.75" customHeight="1">
      <c r="A289" s="127"/>
      <c r="B289" s="211"/>
      <c r="D289" s="211"/>
    </row>
    <row r="290" ht="15.75" customHeight="1">
      <c r="A290" s="127"/>
      <c r="B290" s="211"/>
      <c r="D290" s="211"/>
    </row>
    <row r="291" ht="15.75" customHeight="1">
      <c r="A291" s="127"/>
      <c r="B291" s="211"/>
      <c r="D291" s="211"/>
    </row>
    <row r="292" ht="15.75" customHeight="1">
      <c r="A292" s="127"/>
      <c r="B292" s="211"/>
      <c r="D292" s="211"/>
    </row>
    <row r="293" ht="15.75" customHeight="1">
      <c r="A293" s="127"/>
      <c r="B293" s="211"/>
      <c r="D293" s="211"/>
    </row>
    <row r="294" ht="15.75" customHeight="1">
      <c r="A294" s="127"/>
      <c r="B294" s="211"/>
      <c r="D294" s="211"/>
    </row>
    <row r="295" ht="15.75" customHeight="1">
      <c r="A295" s="127"/>
      <c r="B295" s="211"/>
      <c r="D295" s="211"/>
    </row>
    <row r="296" ht="15.75" customHeight="1">
      <c r="A296" s="127"/>
      <c r="B296" s="211"/>
      <c r="D296" s="211"/>
    </row>
    <row r="297" ht="15.75" customHeight="1">
      <c r="A297" s="127"/>
      <c r="B297" s="211"/>
      <c r="D297" s="211"/>
    </row>
    <row r="298" ht="15.75" customHeight="1">
      <c r="A298" s="127"/>
      <c r="B298" s="211"/>
      <c r="D298" s="211"/>
    </row>
    <row r="299" ht="15.75" customHeight="1">
      <c r="A299" s="127"/>
      <c r="B299" s="211"/>
      <c r="D299" s="211"/>
    </row>
    <row r="300" ht="15.75" customHeight="1">
      <c r="A300" s="127"/>
      <c r="B300" s="211"/>
      <c r="D300" s="211"/>
    </row>
    <row r="301" ht="15.75" customHeight="1">
      <c r="A301" s="127"/>
      <c r="B301" s="211"/>
      <c r="D301" s="211"/>
    </row>
    <row r="302" ht="15.75" customHeight="1">
      <c r="A302" s="127"/>
      <c r="B302" s="211"/>
      <c r="D302" s="211"/>
    </row>
    <row r="303" ht="15.75" customHeight="1">
      <c r="A303" s="127"/>
      <c r="B303" s="211"/>
      <c r="D303" s="211"/>
    </row>
    <row r="304" ht="15.75" customHeight="1">
      <c r="A304" s="127"/>
      <c r="B304" s="211"/>
      <c r="D304" s="211"/>
    </row>
    <row r="305" ht="15.75" customHeight="1">
      <c r="A305" s="127"/>
      <c r="B305" s="211"/>
      <c r="D305" s="211"/>
    </row>
    <row r="306" ht="15.75" customHeight="1">
      <c r="A306" s="127"/>
      <c r="B306" s="211"/>
      <c r="D306" s="211"/>
    </row>
    <row r="307" ht="15.75" customHeight="1">
      <c r="A307" s="127"/>
      <c r="B307" s="211"/>
      <c r="D307" s="211"/>
    </row>
    <row r="308" ht="15.75" customHeight="1">
      <c r="A308" s="127"/>
      <c r="B308" s="211"/>
      <c r="D308" s="211"/>
    </row>
    <row r="309" ht="15.75" customHeight="1">
      <c r="A309" s="127"/>
      <c r="B309" s="211"/>
      <c r="D309" s="211"/>
    </row>
    <row r="310" ht="15.75" customHeight="1">
      <c r="A310" s="127"/>
      <c r="B310" s="211"/>
      <c r="D310" s="211"/>
    </row>
    <row r="311" ht="15.75" customHeight="1">
      <c r="A311" s="127"/>
      <c r="B311" s="211"/>
      <c r="D311" s="211"/>
    </row>
    <row r="312" ht="15.75" customHeight="1">
      <c r="A312" s="127"/>
      <c r="B312" s="211"/>
      <c r="D312" s="211"/>
    </row>
    <row r="313" ht="15.75" customHeight="1">
      <c r="A313" s="127"/>
      <c r="B313" s="211"/>
      <c r="D313" s="211"/>
    </row>
    <row r="314" ht="15.75" customHeight="1">
      <c r="A314" s="127"/>
      <c r="B314" s="211"/>
      <c r="D314" s="211"/>
    </row>
    <row r="315" ht="15.75" customHeight="1">
      <c r="A315" s="127"/>
      <c r="B315" s="211"/>
      <c r="D315" s="211"/>
    </row>
    <row r="316" ht="15.75" customHeight="1">
      <c r="A316" s="127"/>
      <c r="B316" s="211"/>
      <c r="D316" s="211"/>
    </row>
    <row r="317" ht="15.75" customHeight="1">
      <c r="A317" s="127"/>
      <c r="B317" s="211"/>
      <c r="D317" s="211"/>
    </row>
    <row r="318" ht="15.75" customHeight="1">
      <c r="A318" s="127"/>
      <c r="B318" s="211"/>
      <c r="D318" s="211"/>
    </row>
    <row r="319" ht="15.75" customHeight="1">
      <c r="A319" s="127"/>
      <c r="B319" s="211"/>
      <c r="D319" s="211"/>
    </row>
    <row r="320" ht="15.75" customHeight="1">
      <c r="A320" s="127"/>
      <c r="B320" s="211"/>
      <c r="D320" s="211"/>
    </row>
    <row r="321" ht="15.75" customHeight="1">
      <c r="A321" s="127"/>
      <c r="B321" s="211"/>
      <c r="D321" s="211"/>
    </row>
    <row r="322" ht="15.75" customHeight="1">
      <c r="A322" s="127"/>
      <c r="B322" s="211"/>
      <c r="D322" s="211"/>
    </row>
    <row r="323" ht="15.75" customHeight="1">
      <c r="A323" s="127"/>
      <c r="B323" s="211"/>
      <c r="D323" s="211"/>
    </row>
    <row r="324" ht="15.75" customHeight="1">
      <c r="A324" s="127"/>
      <c r="B324" s="211"/>
      <c r="D324" s="211"/>
    </row>
    <row r="325" ht="15.75" customHeight="1">
      <c r="A325" s="127"/>
      <c r="B325" s="211"/>
      <c r="D325" s="211"/>
    </row>
    <row r="326" ht="15.75" customHeight="1">
      <c r="A326" s="127"/>
      <c r="B326" s="211"/>
      <c r="D326" s="211"/>
    </row>
    <row r="327" ht="15.75" customHeight="1">
      <c r="A327" s="127"/>
      <c r="B327" s="211"/>
      <c r="D327" s="211"/>
    </row>
    <row r="328" ht="15.75" customHeight="1">
      <c r="A328" s="127"/>
      <c r="B328" s="211"/>
      <c r="D328" s="211"/>
    </row>
    <row r="329" ht="15.75" customHeight="1">
      <c r="A329" s="127"/>
      <c r="B329" s="211"/>
      <c r="D329" s="211"/>
    </row>
    <row r="330" ht="15.75" customHeight="1">
      <c r="A330" s="127"/>
      <c r="B330" s="211"/>
      <c r="D330" s="211"/>
    </row>
    <row r="331" ht="15.75" customHeight="1">
      <c r="A331" s="127"/>
      <c r="B331" s="211"/>
      <c r="D331" s="211"/>
    </row>
    <row r="332" ht="15.75" customHeight="1">
      <c r="A332" s="127"/>
      <c r="B332" s="211"/>
      <c r="D332" s="211"/>
    </row>
    <row r="333" ht="15.75" customHeight="1">
      <c r="A333" s="127"/>
      <c r="B333" s="211"/>
      <c r="D333" s="211"/>
    </row>
    <row r="334" ht="15.75" customHeight="1">
      <c r="A334" s="127"/>
      <c r="B334" s="211"/>
      <c r="D334" s="211"/>
    </row>
    <row r="335" ht="15.75" customHeight="1">
      <c r="A335" s="127"/>
      <c r="B335" s="211"/>
      <c r="D335" s="211"/>
    </row>
    <row r="336" ht="15.75" customHeight="1">
      <c r="A336" s="127"/>
      <c r="B336" s="211"/>
      <c r="D336" s="211"/>
    </row>
    <row r="337" ht="15.75" customHeight="1">
      <c r="A337" s="127"/>
      <c r="B337" s="211"/>
      <c r="D337" s="211"/>
    </row>
    <row r="338" ht="15.75" customHeight="1">
      <c r="A338" s="127"/>
      <c r="B338" s="211"/>
      <c r="D338" s="211"/>
    </row>
    <row r="339" ht="15.75" customHeight="1">
      <c r="A339" s="127"/>
      <c r="B339" s="211"/>
      <c r="D339" s="211"/>
    </row>
    <row r="340" ht="15.75" customHeight="1">
      <c r="A340" s="127"/>
      <c r="B340" s="211"/>
      <c r="D340" s="211"/>
    </row>
    <row r="341" ht="15.75" customHeight="1">
      <c r="A341" s="127"/>
      <c r="B341" s="211"/>
      <c r="D341" s="211"/>
    </row>
    <row r="342" ht="15.75" customHeight="1">
      <c r="A342" s="127"/>
      <c r="B342" s="211"/>
      <c r="D342" s="211"/>
    </row>
    <row r="343" ht="15.75" customHeight="1">
      <c r="A343" s="127"/>
      <c r="B343" s="211"/>
      <c r="D343" s="211"/>
    </row>
    <row r="344" ht="15.75" customHeight="1">
      <c r="A344" s="127"/>
      <c r="B344" s="211"/>
      <c r="D344" s="211"/>
    </row>
    <row r="345" ht="15.75" customHeight="1">
      <c r="A345" s="127"/>
      <c r="B345" s="211"/>
      <c r="D345" s="211"/>
    </row>
    <row r="346" ht="15.75" customHeight="1">
      <c r="A346" s="127"/>
      <c r="B346" s="211"/>
      <c r="D346" s="211"/>
    </row>
    <row r="347" ht="15.75" customHeight="1">
      <c r="A347" s="127"/>
      <c r="B347" s="211"/>
      <c r="D347" s="211"/>
    </row>
    <row r="348" ht="15.75" customHeight="1">
      <c r="A348" s="127"/>
      <c r="B348" s="211"/>
      <c r="D348" s="211"/>
    </row>
    <row r="349" ht="15.75" customHeight="1">
      <c r="A349" s="127"/>
      <c r="B349" s="211"/>
      <c r="D349" s="211"/>
    </row>
    <row r="350" ht="15.75" customHeight="1">
      <c r="A350" s="127"/>
      <c r="B350" s="211"/>
      <c r="D350" s="211"/>
    </row>
    <row r="351" ht="15.75" customHeight="1">
      <c r="A351" s="127"/>
      <c r="B351" s="211"/>
      <c r="D351" s="211"/>
    </row>
    <row r="352" ht="15.75" customHeight="1">
      <c r="A352" s="127"/>
      <c r="B352" s="211"/>
      <c r="D352" s="211"/>
    </row>
    <row r="353" ht="15.75" customHeight="1">
      <c r="A353" s="127"/>
      <c r="B353" s="211"/>
      <c r="D353" s="211"/>
    </row>
    <row r="354" ht="15.75" customHeight="1">
      <c r="A354" s="127"/>
      <c r="B354" s="211"/>
      <c r="D354" s="211"/>
    </row>
    <row r="355" ht="15.75" customHeight="1">
      <c r="A355" s="127"/>
      <c r="B355" s="211"/>
      <c r="D355" s="211"/>
    </row>
    <row r="356" ht="15.75" customHeight="1">
      <c r="A356" s="127"/>
      <c r="B356" s="211"/>
      <c r="D356" s="211"/>
    </row>
    <row r="357" ht="15.75" customHeight="1">
      <c r="A357" s="127"/>
      <c r="B357" s="211"/>
      <c r="D357" s="211"/>
    </row>
    <row r="358" ht="15.75" customHeight="1">
      <c r="A358" s="127"/>
      <c r="B358" s="211"/>
      <c r="D358" s="211"/>
    </row>
    <row r="359" ht="15.75" customHeight="1">
      <c r="A359" s="127"/>
      <c r="B359" s="211"/>
      <c r="D359" s="211"/>
    </row>
    <row r="360" ht="15.75" customHeight="1">
      <c r="A360" s="127"/>
      <c r="B360" s="211"/>
      <c r="D360" s="211"/>
    </row>
    <row r="361" ht="15.75" customHeight="1">
      <c r="A361" s="127"/>
      <c r="B361" s="211"/>
      <c r="D361" s="211"/>
    </row>
    <row r="362" ht="15.75" customHeight="1">
      <c r="A362" s="127"/>
      <c r="B362" s="211"/>
      <c r="D362" s="211"/>
    </row>
    <row r="363" ht="15.75" customHeight="1">
      <c r="A363" s="127"/>
      <c r="B363" s="211"/>
      <c r="D363" s="211"/>
    </row>
    <row r="364" ht="15.75" customHeight="1">
      <c r="A364" s="127"/>
      <c r="B364" s="211"/>
      <c r="D364" s="211"/>
    </row>
    <row r="365" ht="15.75" customHeight="1">
      <c r="A365" s="127"/>
      <c r="B365" s="211"/>
      <c r="D365" s="211"/>
    </row>
    <row r="366" ht="15.75" customHeight="1">
      <c r="A366" s="127"/>
      <c r="B366" s="211"/>
      <c r="D366" s="211"/>
    </row>
    <row r="367" ht="15.75" customHeight="1">
      <c r="A367" s="127"/>
      <c r="B367" s="211"/>
      <c r="D367" s="211"/>
    </row>
    <row r="368" ht="15.75" customHeight="1">
      <c r="A368" s="127"/>
      <c r="B368" s="211"/>
      <c r="D368" s="211"/>
    </row>
    <row r="369" ht="15.75" customHeight="1">
      <c r="A369" s="127"/>
      <c r="B369" s="211"/>
      <c r="D369" s="211"/>
    </row>
    <row r="370" ht="15.75" customHeight="1">
      <c r="A370" s="127"/>
      <c r="B370" s="211"/>
      <c r="D370" s="211"/>
    </row>
    <row r="371" ht="15.75" customHeight="1">
      <c r="A371" s="127"/>
      <c r="B371" s="211"/>
      <c r="D371" s="211"/>
    </row>
    <row r="372" ht="15.75" customHeight="1">
      <c r="A372" s="127"/>
      <c r="B372" s="211"/>
      <c r="D372" s="211"/>
    </row>
    <row r="373" ht="15.75" customHeight="1">
      <c r="A373" s="127"/>
      <c r="B373" s="211"/>
      <c r="D373" s="211"/>
    </row>
    <row r="374" ht="15.75" customHeight="1">
      <c r="A374" s="127"/>
      <c r="B374" s="211"/>
      <c r="D374" s="211"/>
    </row>
    <row r="375" ht="15.75" customHeight="1">
      <c r="A375" s="127"/>
      <c r="B375" s="211"/>
      <c r="D375" s="211"/>
    </row>
    <row r="376" ht="15.75" customHeight="1">
      <c r="A376" s="127"/>
      <c r="B376" s="211"/>
      <c r="D376" s="211"/>
    </row>
    <row r="377" ht="15.75" customHeight="1">
      <c r="A377" s="127"/>
      <c r="B377" s="211"/>
      <c r="D377" s="211"/>
    </row>
    <row r="378" ht="15.75" customHeight="1">
      <c r="A378" s="127"/>
      <c r="B378" s="211"/>
      <c r="D378" s="211"/>
    </row>
    <row r="379" ht="15.75" customHeight="1">
      <c r="A379" s="127"/>
      <c r="B379" s="211"/>
      <c r="D379" s="211"/>
    </row>
    <row r="380" ht="15.75" customHeight="1">
      <c r="A380" s="127"/>
      <c r="B380" s="211"/>
      <c r="D380" s="211"/>
    </row>
    <row r="381" ht="15.75" customHeight="1">
      <c r="A381" s="127"/>
      <c r="B381" s="211"/>
      <c r="D381" s="211"/>
    </row>
    <row r="382" ht="15.75" customHeight="1">
      <c r="A382" s="127"/>
      <c r="B382" s="211"/>
      <c r="D382" s="211"/>
    </row>
    <row r="383" ht="15.75" customHeight="1">
      <c r="A383" s="127"/>
      <c r="B383" s="211"/>
      <c r="D383" s="211"/>
    </row>
    <row r="384" ht="15.75" customHeight="1">
      <c r="A384" s="127"/>
      <c r="B384" s="211"/>
      <c r="D384" s="211"/>
    </row>
    <row r="385" ht="15.75" customHeight="1">
      <c r="A385" s="127"/>
      <c r="B385" s="211"/>
      <c r="D385" s="211"/>
    </row>
    <row r="386" ht="15.75" customHeight="1">
      <c r="A386" s="127"/>
      <c r="B386" s="211"/>
      <c r="D386" s="211"/>
    </row>
    <row r="387" ht="15.75" customHeight="1">
      <c r="A387" s="127"/>
      <c r="B387" s="211"/>
      <c r="D387" s="211"/>
    </row>
    <row r="388" ht="15.75" customHeight="1">
      <c r="A388" s="127"/>
      <c r="B388" s="211"/>
      <c r="D388" s="211"/>
    </row>
    <row r="389" ht="15.75" customHeight="1">
      <c r="A389" s="127"/>
      <c r="B389" s="211"/>
      <c r="D389" s="211"/>
    </row>
    <row r="390" ht="15.75" customHeight="1">
      <c r="A390" s="127"/>
      <c r="B390" s="211"/>
      <c r="D390" s="211"/>
    </row>
    <row r="391" ht="15.75" customHeight="1">
      <c r="A391" s="127"/>
      <c r="B391" s="211"/>
      <c r="D391" s="211"/>
    </row>
    <row r="392" ht="15.75" customHeight="1">
      <c r="A392" s="127"/>
      <c r="B392" s="211"/>
      <c r="D392" s="211"/>
    </row>
    <row r="393" ht="15.75" customHeight="1">
      <c r="A393" s="127"/>
      <c r="B393" s="211"/>
      <c r="D393" s="211"/>
    </row>
    <row r="394" ht="15.75" customHeight="1">
      <c r="A394" s="127"/>
      <c r="B394" s="211"/>
      <c r="D394" s="211"/>
    </row>
    <row r="395" ht="15.75" customHeight="1">
      <c r="A395" s="127"/>
      <c r="B395" s="211"/>
      <c r="D395" s="211"/>
    </row>
    <row r="396" ht="15.75" customHeight="1">
      <c r="A396" s="127"/>
      <c r="B396" s="211"/>
      <c r="D396" s="211"/>
    </row>
    <row r="397" ht="15.75" customHeight="1">
      <c r="A397" s="127"/>
      <c r="B397" s="211"/>
      <c r="D397" s="211"/>
    </row>
    <row r="398" ht="15.75" customHeight="1">
      <c r="A398" s="127"/>
      <c r="B398" s="211"/>
      <c r="D398" s="211"/>
    </row>
    <row r="399" ht="15.75" customHeight="1">
      <c r="A399" s="127"/>
      <c r="B399" s="211"/>
      <c r="D399" s="211"/>
    </row>
    <row r="400" ht="15.75" customHeight="1">
      <c r="A400" s="127"/>
      <c r="B400" s="211"/>
      <c r="D400" s="211"/>
    </row>
    <row r="401" ht="15.75" customHeight="1">
      <c r="A401" s="127"/>
      <c r="B401" s="211"/>
      <c r="D401" s="211"/>
    </row>
    <row r="402" ht="15.75" customHeight="1">
      <c r="A402" s="127"/>
      <c r="B402" s="211"/>
      <c r="D402" s="211"/>
    </row>
    <row r="403" ht="15.75" customHeight="1">
      <c r="A403" s="127"/>
      <c r="B403" s="211"/>
      <c r="D403" s="211"/>
    </row>
    <row r="404" ht="15.75" customHeight="1">
      <c r="A404" s="127"/>
      <c r="B404" s="211"/>
      <c r="D404" s="211"/>
    </row>
    <row r="405" ht="15.75" customHeight="1">
      <c r="A405" s="127"/>
      <c r="B405" s="211"/>
      <c r="D405" s="211"/>
    </row>
    <row r="406" ht="15.75" customHeight="1">
      <c r="A406" s="127"/>
      <c r="B406" s="211"/>
      <c r="D406" s="211"/>
    </row>
    <row r="407" ht="15.75" customHeight="1">
      <c r="A407" s="127"/>
      <c r="B407" s="211"/>
      <c r="D407" s="211"/>
    </row>
    <row r="408" ht="15.75" customHeight="1">
      <c r="A408" s="127"/>
      <c r="B408" s="211"/>
      <c r="D408" s="211"/>
    </row>
    <row r="409" ht="15.75" customHeight="1">
      <c r="A409" s="127"/>
      <c r="B409" s="211"/>
      <c r="D409" s="211"/>
    </row>
    <row r="410" ht="15.75" customHeight="1">
      <c r="A410" s="127"/>
      <c r="B410" s="211"/>
      <c r="D410" s="211"/>
    </row>
    <row r="411" ht="15.75" customHeight="1">
      <c r="A411" s="127"/>
      <c r="B411" s="211"/>
      <c r="D411" s="211"/>
    </row>
    <row r="412" ht="15.75" customHeight="1">
      <c r="A412" s="127"/>
      <c r="B412" s="211"/>
      <c r="D412" s="211"/>
    </row>
    <row r="413" ht="15.75" customHeight="1">
      <c r="A413" s="127"/>
      <c r="B413" s="211"/>
      <c r="D413" s="211"/>
    </row>
    <row r="414" ht="15.75" customHeight="1">
      <c r="A414" s="127"/>
      <c r="B414" s="211"/>
      <c r="D414" s="211"/>
    </row>
    <row r="415" ht="15.75" customHeight="1">
      <c r="A415" s="127"/>
      <c r="B415" s="211"/>
      <c r="D415" s="211"/>
    </row>
    <row r="416" ht="15.75" customHeight="1">
      <c r="A416" s="127"/>
      <c r="B416" s="211"/>
      <c r="D416" s="211"/>
    </row>
    <row r="417" ht="15.75" customHeight="1">
      <c r="A417" s="127"/>
      <c r="B417" s="211"/>
      <c r="D417" s="211"/>
    </row>
    <row r="418" ht="15.75" customHeight="1">
      <c r="A418" s="127"/>
      <c r="B418" s="211"/>
      <c r="D418" s="211"/>
    </row>
    <row r="419" ht="15.75" customHeight="1">
      <c r="A419" s="127"/>
      <c r="B419" s="211"/>
      <c r="D419" s="211"/>
    </row>
    <row r="420" ht="15.75" customHeight="1">
      <c r="A420" s="127"/>
      <c r="B420" s="211"/>
      <c r="D420" s="211"/>
    </row>
    <row r="421" ht="15.75" customHeight="1">
      <c r="A421" s="127"/>
      <c r="B421" s="211"/>
      <c r="D421" s="211"/>
    </row>
    <row r="422" ht="15.75" customHeight="1">
      <c r="A422" s="127"/>
      <c r="B422" s="211"/>
      <c r="D422" s="211"/>
    </row>
    <row r="423" ht="15.75" customHeight="1">
      <c r="A423" s="127"/>
      <c r="B423" s="211"/>
      <c r="D423" s="211"/>
    </row>
    <row r="424" ht="15.75" customHeight="1">
      <c r="A424" s="127"/>
      <c r="B424" s="211"/>
      <c r="D424" s="211"/>
    </row>
    <row r="425" ht="15.75" customHeight="1">
      <c r="A425" s="127"/>
      <c r="B425" s="211"/>
      <c r="D425" s="211"/>
    </row>
    <row r="426" ht="15.75" customHeight="1">
      <c r="A426" s="127"/>
      <c r="B426" s="211"/>
      <c r="D426" s="211"/>
    </row>
    <row r="427" ht="15.75" customHeight="1">
      <c r="A427" s="127"/>
      <c r="B427" s="211"/>
      <c r="D427" s="211"/>
    </row>
    <row r="428" ht="15.75" customHeight="1">
      <c r="A428" s="127"/>
      <c r="B428" s="211"/>
      <c r="D428" s="211"/>
    </row>
    <row r="429" ht="15.75" customHeight="1">
      <c r="A429" s="127"/>
      <c r="B429" s="211"/>
      <c r="D429" s="211"/>
    </row>
    <row r="430" ht="15.75" customHeight="1">
      <c r="A430" s="127"/>
      <c r="B430" s="211"/>
      <c r="D430" s="211"/>
    </row>
    <row r="431" ht="15.75" customHeight="1">
      <c r="A431" s="127"/>
      <c r="B431" s="211"/>
      <c r="D431" s="211"/>
    </row>
    <row r="432" ht="15.75" customHeight="1">
      <c r="A432" s="127"/>
      <c r="B432" s="211"/>
      <c r="D432" s="211"/>
    </row>
    <row r="433" ht="15.75" customHeight="1">
      <c r="A433" s="127"/>
      <c r="B433" s="211"/>
      <c r="D433" s="211"/>
    </row>
    <row r="434" ht="15.75" customHeight="1">
      <c r="A434" s="127"/>
      <c r="B434" s="211"/>
      <c r="D434" s="211"/>
    </row>
    <row r="435" ht="15.75" customHeight="1">
      <c r="A435" s="127"/>
      <c r="B435" s="211"/>
      <c r="D435" s="211"/>
    </row>
    <row r="436" ht="15.75" customHeight="1">
      <c r="A436" s="127"/>
      <c r="B436" s="211"/>
      <c r="D436" s="211"/>
    </row>
    <row r="437" ht="15.75" customHeight="1">
      <c r="A437" s="127"/>
      <c r="B437" s="211"/>
      <c r="D437" s="211"/>
    </row>
    <row r="438" ht="15.75" customHeight="1">
      <c r="A438" s="127"/>
      <c r="B438" s="211"/>
      <c r="D438" s="211"/>
    </row>
    <row r="439" ht="15.75" customHeight="1">
      <c r="A439" s="127"/>
      <c r="B439" s="211"/>
      <c r="D439" s="211"/>
    </row>
    <row r="440" ht="15.75" customHeight="1">
      <c r="A440" s="127"/>
      <c r="B440" s="211"/>
      <c r="D440" s="211"/>
    </row>
    <row r="441" ht="15.75" customHeight="1">
      <c r="A441" s="127"/>
      <c r="B441" s="211"/>
      <c r="D441" s="211"/>
    </row>
    <row r="442" ht="15.75" customHeight="1">
      <c r="A442" s="127"/>
      <c r="B442" s="211"/>
      <c r="D442" s="211"/>
    </row>
    <row r="443" ht="15.75" customHeight="1">
      <c r="A443" s="127"/>
      <c r="B443" s="211"/>
      <c r="D443" s="211"/>
    </row>
    <row r="444" ht="15.75" customHeight="1">
      <c r="A444" s="127"/>
      <c r="B444" s="211"/>
      <c r="D444" s="211"/>
    </row>
    <row r="445" ht="15.75" customHeight="1">
      <c r="A445" s="127"/>
      <c r="B445" s="211"/>
      <c r="D445" s="211"/>
    </row>
    <row r="446" ht="15.75" customHeight="1">
      <c r="A446" s="127"/>
      <c r="B446" s="211"/>
      <c r="D446" s="211"/>
    </row>
    <row r="447" ht="15.75" customHeight="1">
      <c r="A447" s="127"/>
      <c r="B447" s="211"/>
      <c r="D447" s="211"/>
    </row>
    <row r="448" ht="15.75" customHeight="1">
      <c r="A448" s="127"/>
      <c r="B448" s="211"/>
      <c r="D448" s="211"/>
    </row>
    <row r="449" ht="15.75" customHeight="1">
      <c r="A449" s="127"/>
      <c r="B449" s="211"/>
      <c r="D449" s="211"/>
    </row>
    <row r="450" ht="15.75" customHeight="1">
      <c r="A450" s="127"/>
      <c r="B450" s="211"/>
      <c r="D450" s="211"/>
    </row>
    <row r="451" ht="15.75" customHeight="1">
      <c r="A451" s="127"/>
      <c r="B451" s="211"/>
      <c r="D451" s="211"/>
    </row>
    <row r="452" ht="15.75" customHeight="1">
      <c r="A452" s="127"/>
      <c r="B452" s="211"/>
      <c r="D452" s="211"/>
    </row>
    <row r="453" ht="15.75" customHeight="1">
      <c r="A453" s="127"/>
      <c r="B453" s="211"/>
      <c r="D453" s="211"/>
    </row>
    <row r="454" ht="15.75" customHeight="1">
      <c r="A454" s="127"/>
      <c r="B454" s="211"/>
      <c r="D454" s="211"/>
    </row>
    <row r="455" ht="15.75" customHeight="1">
      <c r="A455" s="127"/>
      <c r="B455" s="211"/>
      <c r="D455" s="211"/>
    </row>
    <row r="456" ht="15.75" customHeight="1">
      <c r="A456" s="127"/>
      <c r="B456" s="211"/>
      <c r="D456" s="211"/>
    </row>
    <row r="457" ht="15.75" customHeight="1">
      <c r="A457" s="127"/>
      <c r="B457" s="211"/>
      <c r="D457" s="211"/>
    </row>
    <row r="458" ht="15.75" customHeight="1">
      <c r="A458" s="127"/>
      <c r="B458" s="211"/>
      <c r="D458" s="211"/>
    </row>
    <row r="459" ht="15.75" customHeight="1">
      <c r="A459" s="127"/>
      <c r="B459" s="211"/>
      <c r="D459" s="211"/>
    </row>
    <row r="460" ht="15.75" customHeight="1">
      <c r="A460" s="127"/>
      <c r="B460" s="211"/>
      <c r="D460" s="211"/>
    </row>
    <row r="461" ht="15.75" customHeight="1">
      <c r="A461" s="127"/>
      <c r="B461" s="211"/>
      <c r="D461" s="211"/>
    </row>
    <row r="462" ht="15.75" customHeight="1">
      <c r="A462" s="127"/>
      <c r="B462" s="211"/>
      <c r="D462" s="211"/>
    </row>
    <row r="463" ht="15.75" customHeight="1">
      <c r="A463" s="127"/>
      <c r="B463" s="211"/>
      <c r="D463" s="211"/>
    </row>
    <row r="464" ht="15.75" customHeight="1">
      <c r="A464" s="127"/>
      <c r="B464" s="211"/>
      <c r="D464" s="211"/>
    </row>
    <row r="465" ht="15.75" customHeight="1">
      <c r="A465" s="127"/>
      <c r="B465" s="211"/>
      <c r="D465" s="211"/>
    </row>
    <row r="466" ht="15.75" customHeight="1">
      <c r="A466" s="127"/>
      <c r="B466" s="211"/>
      <c r="D466" s="211"/>
    </row>
    <row r="467" ht="15.75" customHeight="1">
      <c r="A467" s="127"/>
      <c r="B467" s="211"/>
      <c r="D467" s="211"/>
    </row>
    <row r="468" ht="15.75" customHeight="1">
      <c r="A468" s="127"/>
      <c r="B468" s="211"/>
      <c r="D468" s="211"/>
    </row>
    <row r="469" ht="15.75" customHeight="1">
      <c r="A469" s="127"/>
      <c r="B469" s="211"/>
      <c r="D469" s="211"/>
    </row>
    <row r="470" ht="15.75" customHeight="1">
      <c r="A470" s="127"/>
      <c r="B470" s="211"/>
      <c r="D470" s="211"/>
    </row>
    <row r="471" ht="15.75" customHeight="1">
      <c r="A471" s="127"/>
      <c r="B471" s="211"/>
      <c r="D471" s="211"/>
    </row>
    <row r="472" ht="15.75" customHeight="1">
      <c r="A472" s="127"/>
      <c r="B472" s="211"/>
      <c r="D472" s="211"/>
    </row>
    <row r="473" ht="15.75" customHeight="1">
      <c r="A473" s="127"/>
      <c r="B473" s="211"/>
      <c r="D473" s="211"/>
    </row>
    <row r="474" ht="15.75" customHeight="1">
      <c r="A474" s="127"/>
      <c r="B474" s="211"/>
      <c r="D474" s="211"/>
    </row>
    <row r="475" ht="15.75" customHeight="1">
      <c r="A475" s="127"/>
      <c r="B475" s="211"/>
      <c r="D475" s="211"/>
    </row>
    <row r="476" ht="15.75" customHeight="1">
      <c r="A476" s="127"/>
      <c r="B476" s="211"/>
      <c r="D476" s="211"/>
    </row>
    <row r="477" ht="15.75" customHeight="1">
      <c r="A477" s="127"/>
      <c r="B477" s="211"/>
      <c r="D477" s="211"/>
    </row>
    <row r="478" ht="15.75" customHeight="1">
      <c r="A478" s="127"/>
      <c r="B478" s="211"/>
      <c r="D478" s="211"/>
    </row>
    <row r="479" ht="15.75" customHeight="1">
      <c r="A479" s="127"/>
      <c r="B479" s="211"/>
      <c r="D479" s="211"/>
    </row>
    <row r="480" ht="15.75" customHeight="1">
      <c r="A480" s="127"/>
      <c r="B480" s="211"/>
      <c r="D480" s="211"/>
    </row>
    <row r="481" ht="15.75" customHeight="1">
      <c r="A481" s="127"/>
      <c r="B481" s="211"/>
      <c r="D481" s="211"/>
    </row>
    <row r="482" ht="15.75" customHeight="1">
      <c r="A482" s="127"/>
      <c r="B482" s="211"/>
      <c r="D482" s="211"/>
    </row>
    <row r="483" ht="15.75" customHeight="1">
      <c r="A483" s="127"/>
      <c r="B483" s="211"/>
      <c r="D483" s="211"/>
    </row>
    <row r="484" ht="15.75" customHeight="1">
      <c r="A484" s="127"/>
      <c r="B484" s="211"/>
      <c r="D484" s="211"/>
    </row>
    <row r="485" ht="15.75" customHeight="1">
      <c r="A485" s="127"/>
      <c r="B485" s="211"/>
      <c r="D485" s="211"/>
    </row>
    <row r="486" ht="15.75" customHeight="1">
      <c r="A486" s="127"/>
      <c r="B486" s="211"/>
      <c r="D486" s="211"/>
    </row>
    <row r="487" ht="15.75" customHeight="1">
      <c r="A487" s="127"/>
      <c r="B487" s="211"/>
      <c r="D487" s="211"/>
    </row>
    <row r="488" ht="15.75" customHeight="1">
      <c r="A488" s="127"/>
      <c r="B488" s="211"/>
      <c r="D488" s="211"/>
    </row>
    <row r="489" ht="15.75" customHeight="1">
      <c r="A489" s="127"/>
      <c r="B489" s="211"/>
      <c r="D489" s="211"/>
    </row>
    <row r="490" ht="15.75" customHeight="1">
      <c r="A490" s="127"/>
      <c r="B490" s="211"/>
      <c r="D490" s="211"/>
    </row>
    <row r="491" ht="15.75" customHeight="1">
      <c r="A491" s="127"/>
      <c r="B491" s="211"/>
      <c r="D491" s="211"/>
    </row>
    <row r="492" ht="15.75" customHeight="1">
      <c r="A492" s="127"/>
      <c r="B492" s="211"/>
      <c r="D492" s="211"/>
    </row>
    <row r="493" ht="15.75" customHeight="1">
      <c r="A493" s="127"/>
      <c r="B493" s="211"/>
      <c r="D493" s="211"/>
    </row>
    <row r="494" ht="15.75" customHeight="1">
      <c r="A494" s="127"/>
      <c r="B494" s="211"/>
      <c r="D494" s="211"/>
    </row>
    <row r="495" ht="15.75" customHeight="1">
      <c r="A495" s="127"/>
      <c r="B495" s="211"/>
      <c r="D495" s="211"/>
    </row>
    <row r="496" ht="15.75" customHeight="1">
      <c r="A496" s="127"/>
      <c r="B496" s="211"/>
      <c r="D496" s="211"/>
    </row>
    <row r="497" ht="15.75" customHeight="1">
      <c r="A497" s="127"/>
      <c r="B497" s="211"/>
      <c r="D497" s="211"/>
    </row>
    <row r="498" ht="15.75" customHeight="1">
      <c r="A498" s="127"/>
      <c r="B498" s="211"/>
      <c r="D498" s="211"/>
    </row>
    <row r="499" ht="15.75" customHeight="1">
      <c r="A499" s="127"/>
      <c r="B499" s="211"/>
      <c r="D499" s="211"/>
    </row>
    <row r="500" ht="15.75" customHeight="1">
      <c r="A500" s="127"/>
      <c r="B500" s="211"/>
      <c r="D500" s="211"/>
    </row>
    <row r="501" ht="15.75" customHeight="1">
      <c r="A501" s="127"/>
      <c r="B501" s="211"/>
      <c r="D501" s="211"/>
    </row>
    <row r="502" ht="15.75" customHeight="1">
      <c r="A502" s="127"/>
      <c r="B502" s="211"/>
      <c r="D502" s="211"/>
    </row>
    <row r="503" ht="15.75" customHeight="1">
      <c r="A503" s="127"/>
      <c r="B503" s="211"/>
      <c r="D503" s="211"/>
    </row>
    <row r="504" ht="15.75" customHeight="1">
      <c r="A504" s="127"/>
      <c r="B504" s="211"/>
      <c r="D504" s="211"/>
    </row>
    <row r="505" ht="15.75" customHeight="1">
      <c r="A505" s="127"/>
      <c r="B505" s="211"/>
      <c r="D505" s="211"/>
    </row>
    <row r="506" ht="15.75" customHeight="1">
      <c r="A506" s="127"/>
      <c r="B506" s="211"/>
      <c r="D506" s="211"/>
    </row>
    <row r="507" ht="15.75" customHeight="1">
      <c r="A507" s="127"/>
      <c r="B507" s="211"/>
      <c r="D507" s="211"/>
    </row>
    <row r="508" ht="15.75" customHeight="1">
      <c r="A508" s="127"/>
      <c r="B508" s="211"/>
      <c r="D508" s="211"/>
    </row>
    <row r="509" ht="15.75" customHeight="1">
      <c r="A509" s="127"/>
      <c r="B509" s="211"/>
      <c r="D509" s="211"/>
    </row>
    <row r="510" ht="15.75" customHeight="1">
      <c r="A510" s="127"/>
      <c r="B510" s="211"/>
      <c r="D510" s="211"/>
    </row>
    <row r="511" ht="15.75" customHeight="1">
      <c r="A511" s="127"/>
      <c r="B511" s="211"/>
      <c r="D511" s="211"/>
    </row>
    <row r="512" ht="15.75" customHeight="1">
      <c r="A512" s="127"/>
      <c r="B512" s="211"/>
      <c r="D512" s="211"/>
    </row>
    <row r="513" ht="15.75" customHeight="1">
      <c r="A513" s="127"/>
      <c r="B513" s="211"/>
      <c r="D513" s="211"/>
    </row>
    <row r="514" ht="15.75" customHeight="1">
      <c r="A514" s="127"/>
      <c r="B514" s="211"/>
      <c r="D514" s="211"/>
    </row>
    <row r="515" ht="15.75" customHeight="1">
      <c r="A515" s="127"/>
      <c r="B515" s="211"/>
      <c r="D515" s="211"/>
    </row>
    <row r="516" ht="15.75" customHeight="1">
      <c r="A516" s="127"/>
      <c r="B516" s="211"/>
      <c r="D516" s="211"/>
    </row>
    <row r="517" ht="15.75" customHeight="1">
      <c r="A517" s="127"/>
      <c r="B517" s="211"/>
      <c r="D517" s="211"/>
    </row>
    <row r="518" ht="15.75" customHeight="1">
      <c r="A518" s="127"/>
      <c r="B518" s="211"/>
      <c r="D518" s="211"/>
    </row>
    <row r="519" ht="15.75" customHeight="1">
      <c r="A519" s="127"/>
      <c r="B519" s="211"/>
      <c r="D519" s="211"/>
    </row>
    <row r="520" ht="15.75" customHeight="1">
      <c r="A520" s="127"/>
      <c r="B520" s="211"/>
      <c r="D520" s="211"/>
    </row>
    <row r="521" ht="15.75" customHeight="1">
      <c r="A521" s="127"/>
      <c r="B521" s="211"/>
      <c r="D521" s="211"/>
    </row>
    <row r="522" ht="15.75" customHeight="1">
      <c r="A522" s="127"/>
      <c r="B522" s="211"/>
      <c r="D522" s="211"/>
    </row>
    <row r="523" ht="15.75" customHeight="1">
      <c r="A523" s="127"/>
      <c r="B523" s="211"/>
      <c r="D523" s="211"/>
    </row>
    <row r="524" ht="15.75" customHeight="1">
      <c r="A524" s="127"/>
      <c r="B524" s="211"/>
      <c r="D524" s="211"/>
    </row>
    <row r="525" ht="15.75" customHeight="1">
      <c r="A525" s="127"/>
      <c r="B525" s="211"/>
      <c r="D525" s="211"/>
    </row>
    <row r="526" ht="15.75" customHeight="1">
      <c r="A526" s="127"/>
      <c r="B526" s="211"/>
      <c r="D526" s="211"/>
    </row>
    <row r="527" ht="15.75" customHeight="1">
      <c r="A527" s="127"/>
      <c r="B527" s="211"/>
      <c r="D527" s="211"/>
    </row>
    <row r="528" ht="15.75" customHeight="1">
      <c r="A528" s="127"/>
      <c r="B528" s="211"/>
      <c r="D528" s="211"/>
    </row>
    <row r="529" ht="15.75" customHeight="1">
      <c r="A529" s="127"/>
      <c r="B529" s="211"/>
      <c r="D529" s="211"/>
    </row>
    <row r="530" ht="15.75" customHeight="1">
      <c r="A530" s="127"/>
      <c r="B530" s="211"/>
      <c r="D530" s="211"/>
    </row>
    <row r="531" ht="15.75" customHeight="1">
      <c r="A531" s="127"/>
      <c r="B531" s="211"/>
      <c r="D531" s="211"/>
    </row>
    <row r="532" ht="15.75" customHeight="1">
      <c r="A532" s="127"/>
      <c r="B532" s="211"/>
      <c r="D532" s="211"/>
    </row>
    <row r="533" ht="15.75" customHeight="1">
      <c r="A533" s="127"/>
      <c r="B533" s="211"/>
      <c r="D533" s="211"/>
    </row>
    <row r="534" ht="15.75" customHeight="1">
      <c r="A534" s="127"/>
      <c r="B534" s="211"/>
      <c r="D534" s="211"/>
    </row>
    <row r="535" ht="15.75" customHeight="1">
      <c r="A535" s="127"/>
      <c r="B535" s="211"/>
      <c r="D535" s="211"/>
    </row>
    <row r="536" ht="15.75" customHeight="1">
      <c r="A536" s="127"/>
      <c r="B536" s="211"/>
      <c r="D536" s="211"/>
    </row>
    <row r="537" ht="15.75" customHeight="1">
      <c r="A537" s="127"/>
      <c r="B537" s="211"/>
      <c r="D537" s="211"/>
    </row>
    <row r="538" ht="15.75" customHeight="1">
      <c r="A538" s="127"/>
      <c r="B538" s="211"/>
      <c r="D538" s="211"/>
    </row>
    <row r="539" ht="15.75" customHeight="1">
      <c r="A539" s="127"/>
      <c r="B539" s="211"/>
      <c r="D539" s="211"/>
    </row>
    <row r="540" ht="15.75" customHeight="1">
      <c r="A540" s="127"/>
      <c r="B540" s="211"/>
      <c r="D540" s="211"/>
    </row>
    <row r="541" ht="15.75" customHeight="1">
      <c r="A541" s="127"/>
      <c r="B541" s="211"/>
      <c r="D541" s="211"/>
    </row>
    <row r="542" ht="15.75" customHeight="1">
      <c r="A542" s="127"/>
      <c r="B542" s="211"/>
      <c r="D542" s="211"/>
    </row>
    <row r="543" ht="15.75" customHeight="1">
      <c r="A543" s="127"/>
      <c r="B543" s="211"/>
      <c r="D543" s="211"/>
    </row>
    <row r="544" ht="15.75" customHeight="1">
      <c r="A544" s="127"/>
      <c r="B544" s="211"/>
      <c r="D544" s="211"/>
    </row>
    <row r="545" ht="15.75" customHeight="1">
      <c r="A545" s="127"/>
      <c r="B545" s="211"/>
      <c r="D545" s="211"/>
    </row>
    <row r="546" ht="15.75" customHeight="1">
      <c r="A546" s="127"/>
      <c r="B546" s="211"/>
      <c r="D546" s="211"/>
    </row>
    <row r="547" ht="15.75" customHeight="1">
      <c r="A547" s="127"/>
      <c r="B547" s="211"/>
      <c r="D547" s="211"/>
    </row>
    <row r="548" ht="15.75" customHeight="1">
      <c r="A548" s="127"/>
      <c r="B548" s="211"/>
      <c r="D548" s="211"/>
    </row>
    <row r="549" ht="15.75" customHeight="1">
      <c r="A549" s="127"/>
      <c r="B549" s="211"/>
      <c r="D549" s="211"/>
    </row>
    <row r="550" ht="15.75" customHeight="1">
      <c r="A550" s="127"/>
      <c r="B550" s="211"/>
      <c r="D550" s="211"/>
    </row>
    <row r="551" ht="15.75" customHeight="1">
      <c r="A551" s="127"/>
      <c r="B551" s="211"/>
      <c r="D551" s="211"/>
    </row>
    <row r="552" ht="15.75" customHeight="1">
      <c r="A552" s="127"/>
      <c r="B552" s="211"/>
      <c r="D552" s="211"/>
    </row>
    <row r="553" ht="15.75" customHeight="1">
      <c r="A553" s="127"/>
      <c r="B553" s="211"/>
      <c r="D553" s="211"/>
    </row>
    <row r="554" ht="15.75" customHeight="1">
      <c r="A554" s="127"/>
      <c r="B554" s="211"/>
      <c r="D554" s="211"/>
    </row>
    <row r="555" ht="15.75" customHeight="1">
      <c r="A555" s="127"/>
      <c r="B555" s="211"/>
      <c r="D555" s="211"/>
    </row>
    <row r="556" ht="15.75" customHeight="1">
      <c r="A556" s="127"/>
      <c r="B556" s="211"/>
      <c r="D556" s="211"/>
    </row>
    <row r="557" ht="15.75" customHeight="1">
      <c r="A557" s="127"/>
      <c r="B557" s="211"/>
      <c r="D557" s="211"/>
    </row>
    <row r="558" ht="15.75" customHeight="1">
      <c r="A558" s="127"/>
      <c r="B558" s="211"/>
      <c r="D558" s="211"/>
    </row>
    <row r="559" ht="15.75" customHeight="1">
      <c r="A559" s="127"/>
      <c r="B559" s="211"/>
      <c r="D559" s="211"/>
    </row>
    <row r="560" ht="15.75" customHeight="1">
      <c r="A560" s="127"/>
      <c r="B560" s="211"/>
      <c r="D560" s="211"/>
    </row>
    <row r="561" ht="15.75" customHeight="1">
      <c r="A561" s="127"/>
      <c r="B561" s="211"/>
      <c r="D561" s="211"/>
    </row>
    <row r="562" ht="15.75" customHeight="1">
      <c r="A562" s="127"/>
      <c r="B562" s="211"/>
      <c r="D562" s="211"/>
    </row>
    <row r="563" ht="15.75" customHeight="1">
      <c r="A563" s="127"/>
      <c r="B563" s="211"/>
      <c r="D563" s="211"/>
    </row>
    <row r="564" ht="15.75" customHeight="1">
      <c r="A564" s="127"/>
      <c r="B564" s="211"/>
      <c r="D564" s="211"/>
    </row>
    <row r="565" ht="15.75" customHeight="1">
      <c r="A565" s="127"/>
      <c r="B565" s="211"/>
      <c r="D565" s="211"/>
    </row>
    <row r="566" ht="15.75" customHeight="1">
      <c r="A566" s="127"/>
      <c r="B566" s="211"/>
      <c r="D566" s="211"/>
    </row>
    <row r="567" ht="15.75" customHeight="1">
      <c r="A567" s="127"/>
      <c r="B567" s="211"/>
      <c r="D567" s="211"/>
    </row>
    <row r="568" ht="15.75" customHeight="1">
      <c r="A568" s="127"/>
      <c r="B568" s="211"/>
      <c r="D568" s="211"/>
    </row>
    <row r="569" ht="15.75" customHeight="1">
      <c r="A569" s="127"/>
      <c r="B569" s="211"/>
      <c r="D569" s="211"/>
    </row>
    <row r="570" ht="15.75" customHeight="1">
      <c r="A570" s="127"/>
      <c r="B570" s="211"/>
      <c r="D570" s="211"/>
    </row>
    <row r="571" ht="15.75" customHeight="1">
      <c r="A571" s="127"/>
      <c r="B571" s="211"/>
      <c r="D571" s="211"/>
    </row>
    <row r="572" ht="15.75" customHeight="1">
      <c r="A572" s="127"/>
      <c r="B572" s="211"/>
      <c r="D572" s="211"/>
    </row>
    <row r="573" ht="15.75" customHeight="1">
      <c r="A573" s="127"/>
      <c r="B573" s="211"/>
      <c r="D573" s="211"/>
    </row>
    <row r="574" ht="15.75" customHeight="1">
      <c r="A574" s="127"/>
      <c r="B574" s="211"/>
      <c r="D574" s="211"/>
    </row>
    <row r="575" ht="15.75" customHeight="1">
      <c r="A575" s="127"/>
      <c r="B575" s="211"/>
      <c r="D575" s="211"/>
    </row>
    <row r="576" ht="15.75" customHeight="1">
      <c r="A576" s="127"/>
      <c r="B576" s="211"/>
      <c r="D576" s="211"/>
    </row>
    <row r="577" ht="15.75" customHeight="1">
      <c r="A577" s="127"/>
      <c r="B577" s="211"/>
      <c r="D577" s="211"/>
    </row>
    <row r="578" ht="15.75" customHeight="1">
      <c r="A578" s="127"/>
      <c r="B578" s="211"/>
      <c r="D578" s="211"/>
    </row>
    <row r="579" ht="15.75" customHeight="1">
      <c r="A579" s="127"/>
      <c r="B579" s="211"/>
      <c r="D579" s="211"/>
    </row>
    <row r="580" ht="15.75" customHeight="1">
      <c r="A580" s="127"/>
      <c r="B580" s="211"/>
      <c r="D580" s="211"/>
    </row>
    <row r="581" ht="15.75" customHeight="1">
      <c r="A581" s="127"/>
      <c r="B581" s="211"/>
      <c r="D581" s="211"/>
    </row>
    <row r="582" ht="15.75" customHeight="1">
      <c r="A582" s="127"/>
      <c r="B582" s="211"/>
      <c r="D582" s="211"/>
    </row>
    <row r="583" ht="15.75" customHeight="1">
      <c r="A583" s="127"/>
      <c r="B583" s="211"/>
      <c r="D583" s="211"/>
    </row>
    <row r="584" ht="15.75" customHeight="1">
      <c r="A584" s="127"/>
      <c r="B584" s="211"/>
      <c r="D584" s="211"/>
    </row>
    <row r="585" ht="15.75" customHeight="1">
      <c r="A585" s="127"/>
      <c r="B585" s="211"/>
      <c r="D585" s="211"/>
    </row>
    <row r="586" ht="15.75" customHeight="1">
      <c r="A586" s="127"/>
      <c r="B586" s="211"/>
      <c r="D586" s="211"/>
    </row>
    <row r="587" ht="15.75" customHeight="1">
      <c r="A587" s="127"/>
      <c r="B587" s="211"/>
      <c r="D587" s="211"/>
    </row>
    <row r="588" ht="15.75" customHeight="1">
      <c r="A588" s="127"/>
      <c r="B588" s="211"/>
      <c r="D588" s="211"/>
    </row>
    <row r="589" ht="15.75" customHeight="1">
      <c r="A589" s="127"/>
      <c r="B589" s="211"/>
      <c r="D589" s="211"/>
    </row>
    <row r="590" ht="15.75" customHeight="1">
      <c r="A590" s="127"/>
      <c r="B590" s="211"/>
      <c r="D590" s="211"/>
    </row>
    <row r="591" ht="15.75" customHeight="1">
      <c r="A591" s="127"/>
      <c r="B591" s="211"/>
      <c r="D591" s="211"/>
    </row>
    <row r="592" ht="15.75" customHeight="1">
      <c r="A592" s="127"/>
      <c r="B592" s="211"/>
      <c r="D592" s="211"/>
    </row>
    <row r="593" ht="15.75" customHeight="1">
      <c r="A593" s="127"/>
      <c r="B593" s="211"/>
      <c r="D593" s="211"/>
    </row>
    <row r="594" ht="15.75" customHeight="1">
      <c r="A594" s="127"/>
      <c r="B594" s="211"/>
      <c r="D594" s="211"/>
    </row>
    <row r="595" ht="15.75" customHeight="1">
      <c r="A595" s="127"/>
      <c r="B595" s="211"/>
      <c r="D595" s="211"/>
    </row>
    <row r="596" ht="15.75" customHeight="1">
      <c r="A596" s="127"/>
      <c r="B596" s="211"/>
      <c r="D596" s="211"/>
    </row>
    <row r="597" ht="15.75" customHeight="1">
      <c r="A597" s="127"/>
      <c r="B597" s="211"/>
      <c r="D597" s="211"/>
    </row>
    <row r="598" ht="15.75" customHeight="1">
      <c r="A598" s="127"/>
      <c r="B598" s="211"/>
      <c r="D598" s="211"/>
    </row>
    <row r="599" ht="15.75" customHeight="1">
      <c r="A599" s="127"/>
      <c r="B599" s="211"/>
      <c r="D599" s="211"/>
    </row>
    <row r="600" ht="15.75" customHeight="1">
      <c r="A600" s="127"/>
      <c r="B600" s="211"/>
      <c r="D600" s="211"/>
    </row>
    <row r="601" ht="15.75" customHeight="1">
      <c r="A601" s="127"/>
      <c r="B601" s="211"/>
      <c r="D601" s="211"/>
    </row>
    <row r="602" ht="15.75" customHeight="1">
      <c r="A602" s="127"/>
      <c r="B602" s="211"/>
      <c r="D602" s="211"/>
    </row>
    <row r="603" ht="15.75" customHeight="1">
      <c r="A603" s="127"/>
      <c r="B603" s="211"/>
      <c r="D603" s="211"/>
    </row>
    <row r="604" ht="15.75" customHeight="1">
      <c r="A604" s="127"/>
      <c r="B604" s="211"/>
      <c r="D604" s="211"/>
    </row>
    <row r="605" ht="15.75" customHeight="1">
      <c r="A605" s="127"/>
      <c r="B605" s="211"/>
      <c r="D605" s="211"/>
    </row>
    <row r="606" ht="15.75" customHeight="1">
      <c r="A606" s="127"/>
      <c r="B606" s="211"/>
      <c r="D606" s="211"/>
    </row>
    <row r="607" ht="15.75" customHeight="1">
      <c r="A607" s="127"/>
      <c r="B607" s="211"/>
      <c r="D607" s="211"/>
    </row>
    <row r="608" ht="15.75" customHeight="1">
      <c r="A608" s="127"/>
      <c r="B608" s="211"/>
      <c r="D608" s="211"/>
    </row>
    <row r="609" ht="15.75" customHeight="1">
      <c r="A609" s="127"/>
      <c r="B609" s="211"/>
      <c r="D609" s="211"/>
    </row>
    <row r="610" ht="15.75" customHeight="1">
      <c r="A610" s="127"/>
      <c r="B610" s="211"/>
      <c r="D610" s="211"/>
    </row>
    <row r="611" ht="15.75" customHeight="1">
      <c r="A611" s="127"/>
      <c r="B611" s="211"/>
      <c r="D611" s="211"/>
    </row>
    <row r="612" ht="15.75" customHeight="1">
      <c r="A612" s="127"/>
      <c r="B612" s="211"/>
      <c r="D612" s="211"/>
    </row>
    <row r="613" ht="15.75" customHeight="1">
      <c r="A613" s="127"/>
      <c r="B613" s="211"/>
      <c r="D613" s="211"/>
    </row>
    <row r="614" ht="15.75" customHeight="1">
      <c r="A614" s="127"/>
      <c r="B614" s="211"/>
      <c r="D614" s="211"/>
    </row>
    <row r="615" ht="15.75" customHeight="1">
      <c r="A615" s="127"/>
      <c r="B615" s="211"/>
      <c r="D615" s="211"/>
    </row>
    <row r="616" ht="15.75" customHeight="1">
      <c r="A616" s="127"/>
      <c r="B616" s="211"/>
      <c r="D616" s="211"/>
    </row>
    <row r="617" ht="15.75" customHeight="1">
      <c r="A617" s="127"/>
      <c r="B617" s="211"/>
      <c r="D617" s="211"/>
    </row>
    <row r="618" ht="15.75" customHeight="1">
      <c r="A618" s="127"/>
      <c r="B618" s="211"/>
      <c r="D618" s="211"/>
    </row>
    <row r="619" ht="15.75" customHeight="1">
      <c r="A619" s="127"/>
      <c r="B619" s="211"/>
      <c r="D619" s="211"/>
    </row>
    <row r="620" ht="15.75" customHeight="1">
      <c r="A620" s="127"/>
      <c r="B620" s="211"/>
      <c r="D620" s="211"/>
    </row>
    <row r="621" ht="15.75" customHeight="1">
      <c r="A621" s="127"/>
      <c r="B621" s="211"/>
      <c r="D621" s="211"/>
    </row>
    <row r="622" ht="15.75" customHeight="1">
      <c r="A622" s="127"/>
      <c r="B622" s="211"/>
      <c r="D622" s="211"/>
    </row>
    <row r="623" ht="15.75" customHeight="1">
      <c r="A623" s="127"/>
      <c r="B623" s="211"/>
      <c r="D623" s="211"/>
    </row>
    <row r="624" ht="15.75" customHeight="1">
      <c r="A624" s="127"/>
      <c r="B624" s="211"/>
      <c r="D624" s="211"/>
    </row>
    <row r="625" ht="15.75" customHeight="1">
      <c r="A625" s="127"/>
      <c r="B625" s="211"/>
      <c r="D625" s="211"/>
    </row>
    <row r="626" ht="15.75" customHeight="1">
      <c r="A626" s="127"/>
      <c r="B626" s="211"/>
      <c r="D626" s="211"/>
    </row>
    <row r="627" ht="15.75" customHeight="1">
      <c r="A627" s="127"/>
      <c r="B627" s="211"/>
      <c r="D627" s="211"/>
    </row>
    <row r="628" ht="15.75" customHeight="1">
      <c r="A628" s="127"/>
      <c r="B628" s="211"/>
      <c r="D628" s="211"/>
    </row>
    <row r="629" ht="15.75" customHeight="1">
      <c r="A629" s="127"/>
      <c r="B629" s="211"/>
      <c r="D629" s="211"/>
    </row>
    <row r="630" ht="15.75" customHeight="1">
      <c r="A630" s="127"/>
      <c r="B630" s="211"/>
      <c r="D630" s="211"/>
    </row>
    <row r="631" ht="15.75" customHeight="1">
      <c r="A631" s="127"/>
      <c r="B631" s="211"/>
      <c r="D631" s="211"/>
    </row>
    <row r="632" ht="15.75" customHeight="1">
      <c r="A632" s="127"/>
      <c r="B632" s="211"/>
      <c r="D632" s="211"/>
    </row>
    <row r="633" ht="15.75" customHeight="1">
      <c r="A633" s="127"/>
      <c r="B633" s="211"/>
      <c r="D633" s="211"/>
    </row>
    <row r="634" ht="15.75" customHeight="1">
      <c r="A634" s="127"/>
      <c r="B634" s="211"/>
      <c r="D634" s="211"/>
    </row>
    <row r="635" ht="15.75" customHeight="1">
      <c r="A635" s="127"/>
      <c r="B635" s="211"/>
      <c r="D635" s="211"/>
    </row>
    <row r="636" ht="15.75" customHeight="1">
      <c r="A636" s="127"/>
      <c r="B636" s="211"/>
      <c r="D636" s="211"/>
    </row>
    <row r="637" ht="15.75" customHeight="1">
      <c r="A637" s="127"/>
      <c r="B637" s="211"/>
      <c r="D637" s="211"/>
    </row>
    <row r="638" ht="15.75" customHeight="1">
      <c r="A638" s="127"/>
      <c r="B638" s="211"/>
      <c r="D638" s="211"/>
    </row>
    <row r="639" ht="15.75" customHeight="1">
      <c r="A639" s="127"/>
      <c r="B639" s="211"/>
      <c r="D639" s="211"/>
    </row>
    <row r="640" ht="15.75" customHeight="1">
      <c r="A640" s="127"/>
      <c r="B640" s="211"/>
      <c r="D640" s="211"/>
    </row>
    <row r="641" ht="15.75" customHeight="1">
      <c r="A641" s="127"/>
      <c r="B641" s="211"/>
      <c r="D641" s="211"/>
    </row>
    <row r="642" ht="15.75" customHeight="1">
      <c r="A642" s="127"/>
      <c r="B642" s="211"/>
      <c r="D642" s="211"/>
    </row>
    <row r="643" ht="15.75" customHeight="1">
      <c r="A643" s="127"/>
      <c r="B643" s="211"/>
      <c r="D643" s="211"/>
    </row>
    <row r="644" ht="15.75" customHeight="1">
      <c r="A644" s="127"/>
      <c r="B644" s="211"/>
      <c r="D644" s="211"/>
    </row>
    <row r="645" ht="15.75" customHeight="1">
      <c r="A645" s="127"/>
      <c r="B645" s="211"/>
      <c r="D645" s="211"/>
    </row>
    <row r="646" ht="15.75" customHeight="1">
      <c r="A646" s="127"/>
      <c r="B646" s="211"/>
      <c r="D646" s="211"/>
    </row>
    <row r="647" ht="15.75" customHeight="1">
      <c r="A647" s="127"/>
      <c r="B647" s="211"/>
      <c r="D647" s="211"/>
    </row>
    <row r="648" ht="15.75" customHeight="1">
      <c r="A648" s="127"/>
      <c r="B648" s="211"/>
      <c r="D648" s="211"/>
    </row>
    <row r="649" ht="15.75" customHeight="1">
      <c r="A649" s="127"/>
      <c r="B649" s="211"/>
      <c r="D649" s="211"/>
    </row>
    <row r="650" ht="15.75" customHeight="1">
      <c r="A650" s="127"/>
      <c r="B650" s="211"/>
      <c r="D650" s="211"/>
    </row>
    <row r="651" ht="15.75" customHeight="1">
      <c r="A651" s="127"/>
      <c r="B651" s="211"/>
      <c r="D651" s="211"/>
    </row>
    <row r="652" ht="15.75" customHeight="1">
      <c r="A652" s="127"/>
      <c r="B652" s="211"/>
      <c r="D652" s="211"/>
    </row>
    <row r="653" ht="15.75" customHeight="1">
      <c r="A653" s="127"/>
      <c r="B653" s="211"/>
      <c r="D653" s="211"/>
    </row>
    <row r="654" ht="15.75" customHeight="1">
      <c r="A654" s="127"/>
      <c r="B654" s="211"/>
      <c r="D654" s="211"/>
    </row>
    <row r="655" ht="15.75" customHeight="1">
      <c r="A655" s="127"/>
      <c r="B655" s="211"/>
      <c r="D655" s="211"/>
    </row>
    <row r="656" ht="15.75" customHeight="1">
      <c r="A656" s="127"/>
      <c r="B656" s="211"/>
      <c r="D656" s="211"/>
    </row>
    <row r="657" ht="15.75" customHeight="1">
      <c r="A657" s="127"/>
      <c r="B657" s="211"/>
      <c r="D657" s="211"/>
    </row>
    <row r="658" ht="15.75" customHeight="1">
      <c r="A658" s="127"/>
      <c r="B658" s="211"/>
      <c r="D658" s="211"/>
    </row>
    <row r="659" ht="15.75" customHeight="1">
      <c r="A659" s="127"/>
      <c r="B659" s="211"/>
      <c r="D659" s="211"/>
    </row>
    <row r="660" ht="15.75" customHeight="1">
      <c r="A660" s="127"/>
      <c r="B660" s="211"/>
      <c r="D660" s="211"/>
    </row>
    <row r="661" ht="15.75" customHeight="1">
      <c r="A661" s="127"/>
      <c r="B661" s="211"/>
      <c r="D661" s="211"/>
    </row>
    <row r="662" ht="15.75" customHeight="1">
      <c r="A662" s="127"/>
      <c r="B662" s="211"/>
      <c r="D662" s="211"/>
    </row>
    <row r="663" ht="15.75" customHeight="1">
      <c r="A663" s="127"/>
      <c r="B663" s="211"/>
      <c r="D663" s="211"/>
    </row>
    <row r="664" ht="15.75" customHeight="1">
      <c r="A664" s="127"/>
      <c r="B664" s="211"/>
      <c r="D664" s="211"/>
    </row>
    <row r="665" ht="15.75" customHeight="1">
      <c r="A665" s="127"/>
      <c r="B665" s="211"/>
      <c r="D665" s="211"/>
    </row>
    <row r="666" ht="15.75" customHeight="1">
      <c r="A666" s="127"/>
      <c r="B666" s="211"/>
      <c r="D666" s="211"/>
    </row>
    <row r="667" ht="15.75" customHeight="1">
      <c r="A667" s="127"/>
      <c r="B667" s="211"/>
      <c r="D667" s="211"/>
    </row>
    <row r="668" ht="15.75" customHeight="1">
      <c r="A668" s="127"/>
      <c r="B668" s="211"/>
      <c r="D668" s="211"/>
    </row>
    <row r="669" ht="15.75" customHeight="1">
      <c r="A669" s="127"/>
      <c r="B669" s="211"/>
      <c r="D669" s="211"/>
    </row>
    <row r="670" ht="15.75" customHeight="1">
      <c r="A670" s="127"/>
      <c r="B670" s="211"/>
      <c r="D670" s="211"/>
    </row>
    <row r="671" ht="15.75" customHeight="1">
      <c r="A671" s="127"/>
      <c r="B671" s="211"/>
      <c r="D671" s="211"/>
    </row>
    <row r="672" ht="15.75" customHeight="1">
      <c r="A672" s="127"/>
      <c r="B672" s="211"/>
      <c r="D672" s="211"/>
    </row>
    <row r="673" ht="15.75" customHeight="1">
      <c r="A673" s="127"/>
      <c r="B673" s="211"/>
      <c r="D673" s="211"/>
    </row>
    <row r="674" ht="15.75" customHeight="1">
      <c r="A674" s="127"/>
      <c r="B674" s="211"/>
      <c r="D674" s="211"/>
    </row>
    <row r="675" ht="15.75" customHeight="1">
      <c r="A675" s="127"/>
      <c r="B675" s="211"/>
      <c r="D675" s="211"/>
    </row>
    <row r="676" ht="15.75" customHeight="1">
      <c r="A676" s="127"/>
      <c r="B676" s="211"/>
      <c r="D676" s="211"/>
    </row>
    <row r="677" ht="15.75" customHeight="1">
      <c r="A677" s="127"/>
      <c r="B677" s="211"/>
      <c r="D677" s="211"/>
    </row>
    <row r="678" ht="15.75" customHeight="1">
      <c r="A678" s="127"/>
      <c r="B678" s="211"/>
      <c r="D678" s="211"/>
    </row>
    <row r="679" ht="15.75" customHeight="1">
      <c r="A679" s="127"/>
      <c r="B679" s="211"/>
      <c r="D679" s="211"/>
    </row>
    <row r="680" ht="15.75" customHeight="1">
      <c r="A680" s="127"/>
      <c r="B680" s="211"/>
      <c r="D680" s="211"/>
    </row>
    <row r="681" ht="15.75" customHeight="1">
      <c r="A681" s="127"/>
      <c r="B681" s="211"/>
      <c r="D681" s="211"/>
    </row>
    <row r="682" ht="15.75" customHeight="1">
      <c r="A682" s="127"/>
      <c r="B682" s="211"/>
      <c r="D682" s="211"/>
    </row>
    <row r="683" ht="15.75" customHeight="1">
      <c r="A683" s="127"/>
      <c r="B683" s="211"/>
      <c r="D683" s="211"/>
    </row>
    <row r="684" ht="15.75" customHeight="1">
      <c r="A684" s="127"/>
      <c r="B684" s="211"/>
      <c r="D684" s="211"/>
    </row>
    <row r="685" ht="15.75" customHeight="1">
      <c r="A685" s="127"/>
      <c r="B685" s="211"/>
      <c r="D685" s="211"/>
    </row>
    <row r="686" ht="15.75" customHeight="1">
      <c r="A686" s="127"/>
      <c r="B686" s="211"/>
      <c r="D686" s="211"/>
    </row>
    <row r="687" ht="15.75" customHeight="1">
      <c r="A687" s="127"/>
      <c r="B687" s="211"/>
      <c r="D687" s="211"/>
    </row>
    <row r="688" ht="15.75" customHeight="1">
      <c r="A688" s="127"/>
      <c r="B688" s="211"/>
      <c r="D688" s="211"/>
    </row>
    <row r="689" ht="15.75" customHeight="1">
      <c r="A689" s="127"/>
      <c r="B689" s="211"/>
      <c r="D689" s="211"/>
    </row>
    <row r="690" ht="15.75" customHeight="1">
      <c r="A690" s="127"/>
      <c r="B690" s="211"/>
      <c r="D690" s="211"/>
    </row>
    <row r="691" ht="15.75" customHeight="1">
      <c r="A691" s="127"/>
      <c r="B691" s="211"/>
      <c r="D691" s="211"/>
    </row>
    <row r="692" ht="15.75" customHeight="1">
      <c r="A692" s="127"/>
      <c r="B692" s="211"/>
      <c r="D692" s="211"/>
    </row>
    <row r="693" ht="15.75" customHeight="1">
      <c r="A693" s="127"/>
      <c r="B693" s="211"/>
      <c r="D693" s="211"/>
    </row>
    <row r="694" ht="15.75" customHeight="1">
      <c r="A694" s="127"/>
      <c r="B694" s="211"/>
      <c r="D694" s="211"/>
    </row>
    <row r="695" ht="15.75" customHeight="1">
      <c r="A695" s="127"/>
      <c r="B695" s="211"/>
      <c r="D695" s="211"/>
    </row>
    <row r="696" ht="15.75" customHeight="1">
      <c r="A696" s="127"/>
      <c r="B696" s="211"/>
      <c r="D696" s="211"/>
    </row>
    <row r="697" ht="15.75" customHeight="1">
      <c r="A697" s="127"/>
      <c r="B697" s="211"/>
      <c r="D697" s="211"/>
    </row>
    <row r="698" ht="15.75" customHeight="1">
      <c r="A698" s="127"/>
      <c r="B698" s="211"/>
      <c r="D698" s="211"/>
    </row>
    <row r="699" ht="15.75" customHeight="1">
      <c r="A699" s="127"/>
      <c r="B699" s="211"/>
      <c r="D699" s="211"/>
    </row>
    <row r="700" ht="15.75" customHeight="1">
      <c r="A700" s="127"/>
      <c r="B700" s="211"/>
      <c r="D700" s="211"/>
    </row>
    <row r="701" ht="15.75" customHeight="1">
      <c r="A701" s="127"/>
      <c r="B701" s="211"/>
      <c r="D701" s="211"/>
    </row>
    <row r="702" ht="15.75" customHeight="1">
      <c r="A702" s="127"/>
      <c r="B702" s="211"/>
      <c r="D702" s="211"/>
    </row>
    <row r="703" ht="15.75" customHeight="1">
      <c r="A703" s="127"/>
      <c r="B703" s="211"/>
      <c r="D703" s="211"/>
    </row>
    <row r="704" ht="15.75" customHeight="1">
      <c r="A704" s="127"/>
      <c r="B704" s="211"/>
      <c r="D704" s="211"/>
    </row>
    <row r="705" ht="15.75" customHeight="1">
      <c r="A705" s="127"/>
      <c r="B705" s="211"/>
      <c r="D705" s="211"/>
    </row>
    <row r="706" ht="15.75" customHeight="1">
      <c r="A706" s="127"/>
      <c r="B706" s="211"/>
      <c r="D706" s="211"/>
    </row>
    <row r="707" ht="15.75" customHeight="1">
      <c r="A707" s="127"/>
      <c r="B707" s="211"/>
      <c r="D707" s="211"/>
    </row>
    <row r="708" ht="15.75" customHeight="1">
      <c r="A708" s="127"/>
      <c r="B708" s="211"/>
      <c r="D708" s="211"/>
    </row>
    <row r="709" ht="15.75" customHeight="1">
      <c r="A709" s="127"/>
      <c r="B709" s="211"/>
      <c r="D709" s="211"/>
    </row>
    <row r="710" ht="15.75" customHeight="1">
      <c r="A710" s="127"/>
      <c r="B710" s="211"/>
      <c r="D710" s="211"/>
    </row>
    <row r="711" ht="15.75" customHeight="1">
      <c r="A711" s="127"/>
      <c r="B711" s="211"/>
      <c r="D711" s="211"/>
    </row>
    <row r="712" ht="15.75" customHeight="1">
      <c r="A712" s="127"/>
      <c r="B712" s="211"/>
      <c r="D712" s="211"/>
    </row>
    <row r="713" ht="15.75" customHeight="1">
      <c r="A713" s="127"/>
      <c r="B713" s="211"/>
      <c r="D713" s="211"/>
    </row>
    <row r="714" ht="15.75" customHeight="1">
      <c r="A714" s="127"/>
      <c r="B714" s="211"/>
      <c r="D714" s="211"/>
    </row>
    <row r="715" ht="15.75" customHeight="1">
      <c r="A715" s="127"/>
      <c r="B715" s="211"/>
      <c r="D715" s="211"/>
    </row>
    <row r="716" ht="15.75" customHeight="1">
      <c r="A716" s="127"/>
      <c r="B716" s="211"/>
      <c r="D716" s="211"/>
    </row>
    <row r="717" ht="15.75" customHeight="1">
      <c r="A717" s="127"/>
      <c r="B717" s="211"/>
      <c r="D717" s="211"/>
    </row>
    <row r="718" ht="15.75" customHeight="1">
      <c r="A718" s="127"/>
      <c r="B718" s="211"/>
      <c r="D718" s="211"/>
    </row>
    <row r="719" ht="15.75" customHeight="1">
      <c r="A719" s="127"/>
      <c r="B719" s="211"/>
      <c r="D719" s="211"/>
    </row>
    <row r="720" ht="15.75" customHeight="1">
      <c r="A720" s="127"/>
      <c r="B720" s="211"/>
      <c r="D720" s="211"/>
    </row>
    <row r="721" ht="15.75" customHeight="1">
      <c r="A721" s="127"/>
      <c r="B721" s="211"/>
      <c r="D721" s="211"/>
    </row>
    <row r="722" ht="15.75" customHeight="1">
      <c r="A722" s="127"/>
      <c r="B722" s="211"/>
      <c r="D722" s="211"/>
    </row>
    <row r="723" ht="15.75" customHeight="1">
      <c r="A723" s="127"/>
      <c r="B723" s="211"/>
      <c r="D723" s="211"/>
    </row>
    <row r="724" ht="15.75" customHeight="1">
      <c r="A724" s="127"/>
      <c r="B724" s="211"/>
      <c r="D724" s="211"/>
    </row>
    <row r="725" ht="15.75" customHeight="1">
      <c r="A725" s="127"/>
      <c r="B725" s="211"/>
      <c r="D725" s="211"/>
    </row>
    <row r="726" ht="15.75" customHeight="1">
      <c r="A726" s="127"/>
      <c r="B726" s="211"/>
      <c r="D726" s="211"/>
    </row>
    <row r="727" ht="15.75" customHeight="1">
      <c r="A727" s="127"/>
      <c r="B727" s="211"/>
      <c r="D727" s="211"/>
    </row>
    <row r="728" ht="15.75" customHeight="1">
      <c r="A728" s="127"/>
      <c r="B728" s="211"/>
      <c r="D728" s="211"/>
    </row>
    <row r="729" ht="15.75" customHeight="1">
      <c r="A729" s="127"/>
      <c r="B729" s="211"/>
      <c r="D729" s="211"/>
    </row>
    <row r="730" ht="15.75" customHeight="1">
      <c r="A730" s="127"/>
      <c r="B730" s="211"/>
      <c r="D730" s="211"/>
    </row>
    <row r="731" ht="15.75" customHeight="1">
      <c r="A731" s="127"/>
      <c r="B731" s="211"/>
      <c r="D731" s="211"/>
    </row>
    <row r="732" ht="15.75" customHeight="1">
      <c r="A732" s="127"/>
      <c r="B732" s="211"/>
      <c r="D732" s="211"/>
    </row>
    <row r="733" ht="15.75" customHeight="1">
      <c r="A733" s="127"/>
      <c r="B733" s="211"/>
      <c r="D733" s="211"/>
    </row>
    <row r="734" ht="15.75" customHeight="1">
      <c r="A734" s="127"/>
      <c r="B734" s="211"/>
      <c r="D734" s="211"/>
    </row>
    <row r="735" ht="15.75" customHeight="1">
      <c r="A735" s="127"/>
      <c r="B735" s="211"/>
      <c r="D735" s="211"/>
    </row>
    <row r="736" ht="15.75" customHeight="1">
      <c r="A736" s="127"/>
      <c r="B736" s="211"/>
      <c r="D736" s="211"/>
    </row>
    <row r="737" ht="15.75" customHeight="1">
      <c r="A737" s="127"/>
      <c r="B737" s="211"/>
      <c r="D737" s="211"/>
    </row>
    <row r="738" ht="15.75" customHeight="1">
      <c r="A738" s="127"/>
      <c r="B738" s="211"/>
      <c r="D738" s="211"/>
    </row>
    <row r="739" ht="15.75" customHeight="1">
      <c r="A739" s="127"/>
      <c r="B739" s="211"/>
      <c r="D739" s="211"/>
    </row>
    <row r="740" ht="15.75" customHeight="1">
      <c r="A740" s="127"/>
      <c r="B740" s="211"/>
      <c r="D740" s="211"/>
    </row>
    <row r="741" ht="15.75" customHeight="1">
      <c r="A741" s="127"/>
      <c r="B741" s="211"/>
      <c r="D741" s="211"/>
    </row>
    <row r="742" ht="15.75" customHeight="1">
      <c r="A742" s="127"/>
      <c r="B742" s="211"/>
      <c r="D742" s="211"/>
    </row>
    <row r="743" ht="15.75" customHeight="1">
      <c r="A743" s="127"/>
      <c r="B743" s="211"/>
      <c r="D743" s="211"/>
    </row>
    <row r="744" ht="15.75" customHeight="1">
      <c r="A744" s="127"/>
      <c r="B744" s="211"/>
      <c r="D744" s="211"/>
    </row>
    <row r="745" ht="15.75" customHeight="1">
      <c r="A745" s="127"/>
      <c r="B745" s="211"/>
      <c r="D745" s="211"/>
    </row>
    <row r="746" ht="15.75" customHeight="1">
      <c r="A746" s="127"/>
      <c r="B746" s="211"/>
      <c r="D746" s="211"/>
    </row>
    <row r="747" ht="15.75" customHeight="1">
      <c r="A747" s="127"/>
      <c r="B747" s="211"/>
      <c r="D747" s="211"/>
    </row>
    <row r="748" ht="15.75" customHeight="1">
      <c r="A748" s="127"/>
      <c r="B748" s="211"/>
      <c r="D748" s="211"/>
    </row>
    <row r="749" ht="15.75" customHeight="1">
      <c r="A749" s="127"/>
      <c r="B749" s="211"/>
      <c r="D749" s="211"/>
    </row>
    <row r="750" ht="15.75" customHeight="1">
      <c r="A750" s="127"/>
      <c r="B750" s="211"/>
      <c r="D750" s="211"/>
    </row>
    <row r="751" ht="15.75" customHeight="1">
      <c r="A751" s="127"/>
      <c r="B751" s="211"/>
      <c r="D751" s="211"/>
    </row>
    <row r="752" ht="15.75" customHeight="1">
      <c r="A752" s="127"/>
      <c r="B752" s="211"/>
      <c r="D752" s="211"/>
    </row>
    <row r="753" ht="15.75" customHeight="1">
      <c r="A753" s="127"/>
      <c r="B753" s="211"/>
      <c r="D753" s="211"/>
    </row>
    <row r="754" ht="15.75" customHeight="1">
      <c r="A754" s="127"/>
      <c r="B754" s="211"/>
      <c r="D754" s="211"/>
    </row>
    <row r="755" ht="15.75" customHeight="1">
      <c r="A755" s="127"/>
      <c r="B755" s="211"/>
      <c r="D755" s="211"/>
    </row>
    <row r="756" ht="15.75" customHeight="1">
      <c r="A756" s="127"/>
      <c r="B756" s="211"/>
      <c r="D756" s="211"/>
    </row>
    <row r="757" ht="15.75" customHeight="1">
      <c r="A757" s="127"/>
      <c r="B757" s="211"/>
      <c r="D757" s="211"/>
    </row>
    <row r="758" ht="15.75" customHeight="1">
      <c r="A758" s="127"/>
      <c r="B758" s="211"/>
      <c r="D758" s="211"/>
    </row>
    <row r="759" ht="15.75" customHeight="1">
      <c r="A759" s="127"/>
      <c r="B759" s="211"/>
      <c r="D759" s="211"/>
    </row>
    <row r="760" ht="15.75" customHeight="1">
      <c r="A760" s="127"/>
      <c r="B760" s="211"/>
      <c r="D760" s="211"/>
    </row>
    <row r="761" ht="15.75" customHeight="1">
      <c r="A761" s="127"/>
      <c r="B761" s="211"/>
      <c r="D761" s="211"/>
    </row>
    <row r="762" ht="15.75" customHeight="1">
      <c r="A762" s="127"/>
      <c r="B762" s="211"/>
      <c r="D762" s="211"/>
    </row>
    <row r="763" ht="15.75" customHeight="1">
      <c r="A763" s="127"/>
      <c r="B763" s="211"/>
      <c r="D763" s="211"/>
    </row>
    <row r="764" ht="15.75" customHeight="1">
      <c r="A764" s="127"/>
      <c r="B764" s="211"/>
      <c r="D764" s="211"/>
    </row>
    <row r="765" ht="15.75" customHeight="1">
      <c r="A765" s="127"/>
      <c r="B765" s="211"/>
      <c r="D765" s="211"/>
    </row>
    <row r="766" ht="15.75" customHeight="1">
      <c r="A766" s="127"/>
      <c r="B766" s="211"/>
      <c r="D766" s="211"/>
    </row>
    <row r="767" ht="15.75" customHeight="1">
      <c r="A767" s="127"/>
      <c r="B767" s="211"/>
      <c r="D767" s="211"/>
    </row>
    <row r="768" ht="15.75" customHeight="1">
      <c r="A768" s="127"/>
      <c r="B768" s="211"/>
      <c r="D768" s="211"/>
    </row>
    <row r="769" ht="15.75" customHeight="1">
      <c r="A769" s="127"/>
      <c r="B769" s="211"/>
      <c r="D769" s="211"/>
    </row>
    <row r="770" ht="15.75" customHeight="1">
      <c r="A770" s="127"/>
      <c r="B770" s="211"/>
      <c r="D770" s="211"/>
    </row>
    <row r="771" ht="15.75" customHeight="1">
      <c r="A771" s="127"/>
      <c r="B771" s="211"/>
      <c r="D771" s="211"/>
    </row>
    <row r="772" ht="15.75" customHeight="1">
      <c r="A772" s="127"/>
      <c r="B772" s="211"/>
      <c r="D772" s="211"/>
    </row>
    <row r="773" ht="15.75" customHeight="1">
      <c r="A773" s="127"/>
      <c r="B773" s="211"/>
      <c r="D773" s="211"/>
    </row>
    <row r="774" ht="15.75" customHeight="1">
      <c r="A774" s="127"/>
      <c r="B774" s="211"/>
      <c r="D774" s="211"/>
    </row>
    <row r="775" ht="15.75" customHeight="1">
      <c r="A775" s="127"/>
      <c r="B775" s="211"/>
      <c r="D775" s="211"/>
    </row>
    <row r="776" ht="15.75" customHeight="1">
      <c r="A776" s="127"/>
      <c r="B776" s="211"/>
      <c r="D776" s="211"/>
    </row>
    <row r="777" ht="15.75" customHeight="1">
      <c r="A777" s="127"/>
      <c r="B777" s="211"/>
      <c r="D777" s="211"/>
    </row>
    <row r="778" ht="15.75" customHeight="1">
      <c r="A778" s="127"/>
      <c r="B778" s="211"/>
      <c r="D778" s="211"/>
    </row>
    <row r="779" ht="15.75" customHeight="1">
      <c r="A779" s="127"/>
      <c r="B779" s="211"/>
      <c r="D779" s="211"/>
    </row>
    <row r="780" ht="15.75" customHeight="1">
      <c r="A780" s="127"/>
      <c r="B780" s="211"/>
      <c r="D780" s="211"/>
    </row>
    <row r="781" ht="15.75" customHeight="1">
      <c r="A781" s="127"/>
      <c r="B781" s="211"/>
      <c r="D781" s="211"/>
    </row>
    <row r="782" ht="15.75" customHeight="1">
      <c r="A782" s="127"/>
      <c r="B782" s="211"/>
      <c r="D782" s="211"/>
    </row>
    <row r="783" ht="15.75" customHeight="1">
      <c r="A783" s="127"/>
      <c r="B783" s="211"/>
      <c r="D783" s="211"/>
    </row>
    <row r="784" ht="15.75" customHeight="1">
      <c r="A784" s="127"/>
      <c r="B784" s="211"/>
      <c r="D784" s="211"/>
    </row>
    <row r="785" ht="15.75" customHeight="1">
      <c r="A785" s="127"/>
      <c r="B785" s="211"/>
      <c r="D785" s="211"/>
    </row>
    <row r="786" ht="15.75" customHeight="1">
      <c r="A786" s="127"/>
      <c r="B786" s="211"/>
      <c r="D786" s="211"/>
    </row>
    <row r="787" ht="15.75" customHeight="1">
      <c r="A787" s="127"/>
      <c r="B787" s="211"/>
      <c r="D787" s="211"/>
    </row>
    <row r="788" ht="15.75" customHeight="1">
      <c r="A788" s="127"/>
      <c r="B788" s="211"/>
      <c r="D788" s="211"/>
    </row>
    <row r="789" ht="15.75" customHeight="1">
      <c r="A789" s="127"/>
      <c r="B789" s="211"/>
      <c r="D789" s="211"/>
    </row>
    <row r="790" ht="15.75" customHeight="1">
      <c r="A790" s="127"/>
      <c r="B790" s="211"/>
      <c r="D790" s="211"/>
    </row>
    <row r="791" ht="15.75" customHeight="1">
      <c r="A791" s="127"/>
      <c r="B791" s="211"/>
      <c r="D791" s="211"/>
    </row>
    <row r="792" ht="15.75" customHeight="1">
      <c r="A792" s="127"/>
      <c r="B792" s="211"/>
      <c r="D792" s="211"/>
    </row>
    <row r="793" ht="15.75" customHeight="1">
      <c r="A793" s="127"/>
      <c r="B793" s="211"/>
      <c r="D793" s="211"/>
    </row>
    <row r="794" ht="15.75" customHeight="1">
      <c r="A794" s="127"/>
      <c r="B794" s="211"/>
      <c r="D794" s="211"/>
    </row>
    <row r="795" ht="15.75" customHeight="1">
      <c r="A795" s="127"/>
      <c r="B795" s="211"/>
      <c r="D795" s="211"/>
    </row>
    <row r="796" ht="15.75" customHeight="1">
      <c r="A796" s="127"/>
      <c r="B796" s="211"/>
      <c r="D796" s="211"/>
    </row>
    <row r="797" ht="15.75" customHeight="1">
      <c r="A797" s="127"/>
      <c r="B797" s="211"/>
      <c r="D797" s="211"/>
    </row>
    <row r="798" ht="15.75" customHeight="1">
      <c r="A798" s="127"/>
      <c r="B798" s="211"/>
      <c r="D798" s="211"/>
    </row>
    <row r="799" ht="15.75" customHeight="1">
      <c r="A799" s="127"/>
      <c r="B799" s="211"/>
      <c r="D799" s="211"/>
    </row>
    <row r="800" ht="15.75" customHeight="1">
      <c r="A800" s="127"/>
      <c r="B800" s="211"/>
      <c r="D800" s="211"/>
    </row>
    <row r="801" ht="15.75" customHeight="1">
      <c r="A801" s="127"/>
      <c r="B801" s="211"/>
      <c r="D801" s="211"/>
    </row>
    <row r="802" ht="15.75" customHeight="1">
      <c r="A802" s="127"/>
      <c r="B802" s="211"/>
      <c r="D802" s="211"/>
    </row>
    <row r="803" ht="15.75" customHeight="1">
      <c r="A803" s="127"/>
      <c r="B803" s="211"/>
      <c r="D803" s="211"/>
    </row>
    <row r="804" ht="15.75" customHeight="1">
      <c r="A804" s="127"/>
      <c r="B804" s="211"/>
      <c r="D804" s="211"/>
    </row>
    <row r="805" ht="15.75" customHeight="1">
      <c r="A805" s="127"/>
      <c r="B805" s="211"/>
      <c r="D805" s="211"/>
    </row>
    <row r="806" ht="15.75" customHeight="1">
      <c r="A806" s="127"/>
      <c r="B806" s="211"/>
      <c r="D806" s="211"/>
    </row>
    <row r="807" ht="15.75" customHeight="1">
      <c r="A807" s="127"/>
      <c r="B807" s="211"/>
      <c r="D807" s="211"/>
    </row>
    <row r="808" ht="15.75" customHeight="1">
      <c r="A808" s="127"/>
      <c r="B808" s="211"/>
      <c r="D808" s="211"/>
    </row>
    <row r="809" ht="15.75" customHeight="1">
      <c r="A809" s="127"/>
      <c r="B809" s="211"/>
      <c r="D809" s="211"/>
    </row>
    <row r="810" ht="15.75" customHeight="1">
      <c r="A810" s="127"/>
      <c r="B810" s="211"/>
      <c r="D810" s="211"/>
    </row>
    <row r="811" ht="15.75" customHeight="1">
      <c r="A811" s="127"/>
      <c r="B811" s="211"/>
      <c r="D811" s="211"/>
    </row>
    <row r="812" ht="15.75" customHeight="1">
      <c r="A812" s="127"/>
      <c r="B812" s="211"/>
      <c r="D812" s="211"/>
    </row>
    <row r="813" ht="15.75" customHeight="1">
      <c r="A813" s="127"/>
      <c r="B813" s="211"/>
      <c r="D813" s="211"/>
    </row>
    <row r="814" ht="15.75" customHeight="1">
      <c r="A814" s="127"/>
      <c r="B814" s="211"/>
      <c r="D814" s="211"/>
    </row>
    <row r="815" ht="15.75" customHeight="1">
      <c r="A815" s="127"/>
      <c r="B815" s="211"/>
      <c r="D815" s="211"/>
    </row>
    <row r="816" ht="15.75" customHeight="1">
      <c r="A816" s="127"/>
      <c r="B816" s="211"/>
      <c r="D816" s="211"/>
    </row>
    <row r="817" ht="15.75" customHeight="1">
      <c r="A817" s="127"/>
      <c r="B817" s="211"/>
      <c r="D817" s="211"/>
    </row>
    <row r="818" ht="15.75" customHeight="1">
      <c r="A818" s="127"/>
      <c r="B818" s="211"/>
      <c r="D818" s="211"/>
    </row>
    <row r="819" ht="15.75" customHeight="1">
      <c r="A819" s="127"/>
      <c r="B819" s="211"/>
      <c r="D819" s="211"/>
    </row>
    <row r="820" ht="15.75" customHeight="1">
      <c r="A820" s="127"/>
      <c r="B820" s="211"/>
      <c r="D820" s="211"/>
    </row>
    <row r="821" ht="15.75" customHeight="1">
      <c r="A821" s="127"/>
      <c r="B821" s="211"/>
      <c r="D821" s="211"/>
    </row>
    <row r="822" ht="15.75" customHeight="1">
      <c r="A822" s="127"/>
      <c r="B822" s="211"/>
      <c r="D822" s="211"/>
    </row>
    <row r="823" ht="15.75" customHeight="1">
      <c r="A823" s="127"/>
      <c r="B823" s="211"/>
      <c r="D823" s="211"/>
    </row>
    <row r="824" ht="15.75" customHeight="1">
      <c r="A824" s="127"/>
      <c r="B824" s="211"/>
      <c r="D824" s="211"/>
    </row>
    <row r="825" ht="15.75" customHeight="1">
      <c r="A825" s="127"/>
      <c r="B825" s="211"/>
      <c r="D825" s="211"/>
    </row>
    <row r="826" ht="15.75" customHeight="1">
      <c r="A826" s="127"/>
      <c r="B826" s="211"/>
      <c r="D826" s="211"/>
    </row>
    <row r="827" ht="15.75" customHeight="1">
      <c r="A827" s="127"/>
      <c r="B827" s="211"/>
      <c r="D827" s="211"/>
    </row>
    <row r="828" ht="15.75" customHeight="1">
      <c r="A828" s="127"/>
      <c r="B828" s="211"/>
      <c r="D828" s="211"/>
    </row>
    <row r="829" ht="15.75" customHeight="1">
      <c r="A829" s="127"/>
      <c r="B829" s="211"/>
      <c r="D829" s="211"/>
    </row>
    <row r="830" ht="15.75" customHeight="1">
      <c r="A830" s="127"/>
      <c r="B830" s="211"/>
      <c r="D830" s="211"/>
    </row>
    <row r="831" ht="15.75" customHeight="1">
      <c r="A831" s="127"/>
      <c r="B831" s="211"/>
      <c r="D831" s="211"/>
    </row>
    <row r="832" ht="15.75" customHeight="1">
      <c r="A832" s="127"/>
      <c r="B832" s="211"/>
      <c r="D832" s="211"/>
    </row>
    <row r="833" ht="15.75" customHeight="1">
      <c r="A833" s="127"/>
      <c r="B833" s="211"/>
      <c r="D833" s="211"/>
    </row>
    <row r="834" ht="15.75" customHeight="1">
      <c r="A834" s="127"/>
      <c r="B834" s="211"/>
      <c r="D834" s="211"/>
    </row>
    <row r="835" ht="15.75" customHeight="1">
      <c r="A835" s="127"/>
      <c r="B835" s="211"/>
      <c r="D835" s="211"/>
    </row>
    <row r="836" ht="15.75" customHeight="1">
      <c r="A836" s="127"/>
      <c r="B836" s="211"/>
      <c r="D836" s="211"/>
    </row>
    <row r="837" ht="15.75" customHeight="1">
      <c r="A837" s="127"/>
      <c r="B837" s="211"/>
      <c r="D837" s="211"/>
    </row>
    <row r="838" ht="15.75" customHeight="1">
      <c r="A838" s="127"/>
      <c r="B838" s="211"/>
      <c r="D838" s="211"/>
    </row>
    <row r="839" ht="15.75" customHeight="1">
      <c r="A839" s="127"/>
      <c r="B839" s="211"/>
      <c r="D839" s="211"/>
    </row>
    <row r="840" ht="15.75" customHeight="1">
      <c r="A840" s="127"/>
      <c r="B840" s="211"/>
      <c r="D840" s="211"/>
    </row>
    <row r="841" ht="15.75" customHeight="1">
      <c r="A841" s="127"/>
      <c r="B841" s="211"/>
      <c r="D841" s="211"/>
    </row>
    <row r="842" ht="15.75" customHeight="1">
      <c r="A842" s="127"/>
      <c r="B842" s="211"/>
      <c r="D842" s="211"/>
    </row>
    <row r="843" ht="15.75" customHeight="1">
      <c r="A843" s="127"/>
      <c r="B843" s="211"/>
      <c r="D843" s="211"/>
    </row>
    <row r="844" ht="15.75" customHeight="1">
      <c r="A844" s="127"/>
      <c r="B844" s="211"/>
      <c r="D844" s="211"/>
    </row>
    <row r="845" ht="15.75" customHeight="1">
      <c r="A845" s="127"/>
      <c r="B845" s="211"/>
      <c r="D845" s="211"/>
    </row>
    <row r="846" ht="15.75" customHeight="1">
      <c r="A846" s="127"/>
      <c r="B846" s="211"/>
      <c r="D846" s="211"/>
    </row>
    <row r="847" ht="15.75" customHeight="1">
      <c r="A847" s="127"/>
      <c r="B847" s="211"/>
      <c r="D847" s="211"/>
    </row>
    <row r="848" ht="15.75" customHeight="1">
      <c r="A848" s="127"/>
      <c r="B848" s="211"/>
      <c r="D848" s="211"/>
    </row>
    <row r="849" ht="15.75" customHeight="1">
      <c r="A849" s="127"/>
      <c r="B849" s="211"/>
      <c r="D849" s="211"/>
    </row>
    <row r="850" ht="15.75" customHeight="1">
      <c r="A850" s="127"/>
      <c r="B850" s="211"/>
      <c r="D850" s="211"/>
    </row>
    <row r="851" ht="15.75" customHeight="1">
      <c r="A851" s="127"/>
      <c r="B851" s="211"/>
      <c r="D851" s="211"/>
    </row>
    <row r="852" ht="15.75" customHeight="1">
      <c r="A852" s="127"/>
      <c r="B852" s="211"/>
      <c r="D852" s="211"/>
    </row>
    <row r="853" ht="15.75" customHeight="1">
      <c r="A853" s="127"/>
      <c r="B853" s="211"/>
      <c r="D853" s="211"/>
    </row>
    <row r="854" ht="15.75" customHeight="1">
      <c r="A854" s="127"/>
      <c r="B854" s="211"/>
      <c r="D854" s="211"/>
    </row>
    <row r="855" ht="15.75" customHeight="1">
      <c r="A855" s="127"/>
      <c r="B855" s="211"/>
      <c r="D855" s="211"/>
    </row>
    <row r="856" ht="15.75" customHeight="1">
      <c r="A856" s="127"/>
      <c r="B856" s="211"/>
      <c r="D856" s="211"/>
    </row>
    <row r="857" ht="15.75" customHeight="1">
      <c r="A857" s="127"/>
      <c r="B857" s="211"/>
      <c r="D857" s="211"/>
    </row>
    <row r="858" ht="15.75" customHeight="1">
      <c r="A858" s="127"/>
      <c r="B858" s="211"/>
      <c r="D858" s="211"/>
    </row>
    <row r="859" ht="15.75" customHeight="1">
      <c r="A859" s="127"/>
      <c r="B859" s="211"/>
      <c r="D859" s="211"/>
    </row>
    <row r="860" ht="15.75" customHeight="1">
      <c r="A860" s="127"/>
      <c r="B860" s="211"/>
      <c r="D860" s="211"/>
    </row>
    <row r="861" ht="15.75" customHeight="1">
      <c r="A861" s="127"/>
      <c r="B861" s="211"/>
      <c r="D861" s="211"/>
    </row>
    <row r="862" ht="15.75" customHeight="1">
      <c r="A862" s="127"/>
      <c r="B862" s="211"/>
      <c r="D862" s="211"/>
    </row>
    <row r="863" ht="15.75" customHeight="1">
      <c r="A863" s="127"/>
      <c r="B863" s="211"/>
      <c r="D863" s="211"/>
    </row>
    <row r="864" ht="15.75" customHeight="1">
      <c r="A864" s="127"/>
      <c r="B864" s="211"/>
      <c r="D864" s="211"/>
    </row>
    <row r="865" ht="15.75" customHeight="1">
      <c r="A865" s="127"/>
      <c r="B865" s="211"/>
      <c r="D865" s="211"/>
    </row>
    <row r="866" ht="15.75" customHeight="1">
      <c r="A866" s="127"/>
      <c r="B866" s="211"/>
      <c r="D866" s="211"/>
    </row>
    <row r="867" ht="15.75" customHeight="1">
      <c r="A867" s="127"/>
      <c r="B867" s="211"/>
      <c r="D867" s="211"/>
    </row>
    <row r="868" ht="15.75" customHeight="1">
      <c r="A868" s="127"/>
      <c r="B868" s="211"/>
      <c r="D868" s="211"/>
    </row>
    <row r="869" ht="15.75" customHeight="1">
      <c r="A869" s="127"/>
      <c r="B869" s="211"/>
      <c r="D869" s="211"/>
    </row>
    <row r="870" ht="15.75" customHeight="1">
      <c r="A870" s="127"/>
      <c r="B870" s="211"/>
      <c r="D870" s="211"/>
    </row>
    <row r="871" ht="15.75" customHeight="1">
      <c r="A871" s="127"/>
      <c r="B871" s="211"/>
      <c r="D871" s="211"/>
    </row>
    <row r="872" ht="15.75" customHeight="1">
      <c r="A872" s="127"/>
      <c r="B872" s="211"/>
      <c r="D872" s="211"/>
    </row>
    <row r="873" ht="15.75" customHeight="1">
      <c r="A873" s="127"/>
      <c r="B873" s="211"/>
      <c r="D873" s="211"/>
    </row>
    <row r="874" ht="15.75" customHeight="1">
      <c r="A874" s="127"/>
      <c r="B874" s="211"/>
      <c r="D874" s="211"/>
    </row>
    <row r="875" ht="15.75" customHeight="1">
      <c r="A875" s="127"/>
      <c r="B875" s="211"/>
      <c r="D875" s="211"/>
    </row>
    <row r="876" ht="15.75" customHeight="1">
      <c r="A876" s="127"/>
      <c r="B876" s="211"/>
      <c r="D876" s="211"/>
    </row>
    <row r="877" ht="15.75" customHeight="1">
      <c r="A877" s="127"/>
      <c r="B877" s="211"/>
      <c r="D877" s="211"/>
    </row>
    <row r="878" ht="15.75" customHeight="1">
      <c r="A878" s="127"/>
      <c r="B878" s="211"/>
      <c r="D878" s="211"/>
    </row>
    <row r="879" ht="15.75" customHeight="1">
      <c r="A879" s="127"/>
      <c r="B879" s="211"/>
      <c r="D879" s="211"/>
    </row>
    <row r="880" ht="15.75" customHeight="1">
      <c r="A880" s="127"/>
      <c r="B880" s="211"/>
      <c r="D880" s="211"/>
    </row>
    <row r="881" ht="15.75" customHeight="1">
      <c r="A881" s="127"/>
      <c r="B881" s="211"/>
      <c r="D881" s="211"/>
    </row>
    <row r="882" ht="15.75" customHeight="1">
      <c r="A882" s="127"/>
      <c r="B882" s="211"/>
      <c r="D882" s="211"/>
    </row>
    <row r="883" ht="15.75" customHeight="1">
      <c r="A883" s="127"/>
      <c r="B883" s="211"/>
      <c r="D883" s="211"/>
    </row>
    <row r="884" ht="15.75" customHeight="1">
      <c r="A884" s="127"/>
      <c r="B884" s="211"/>
      <c r="D884" s="211"/>
    </row>
    <row r="885" ht="15.75" customHeight="1">
      <c r="A885" s="127"/>
      <c r="B885" s="211"/>
      <c r="D885" s="211"/>
    </row>
    <row r="886" ht="15.75" customHeight="1">
      <c r="A886" s="127"/>
      <c r="B886" s="211"/>
      <c r="D886" s="211"/>
    </row>
    <row r="887" ht="15.75" customHeight="1">
      <c r="A887" s="127"/>
      <c r="B887" s="211"/>
      <c r="D887" s="211"/>
    </row>
    <row r="888" ht="15.75" customHeight="1">
      <c r="A888" s="127"/>
      <c r="B888" s="211"/>
      <c r="D888" s="211"/>
    </row>
    <row r="889" ht="15.75" customHeight="1">
      <c r="A889" s="127"/>
      <c r="B889" s="211"/>
      <c r="D889" s="211"/>
    </row>
    <row r="890" ht="15.75" customHeight="1">
      <c r="A890" s="127"/>
      <c r="B890" s="211"/>
      <c r="D890" s="211"/>
    </row>
    <row r="891" ht="15.75" customHeight="1">
      <c r="A891" s="127"/>
      <c r="B891" s="211"/>
      <c r="D891" s="211"/>
    </row>
    <row r="892" ht="15.75" customHeight="1">
      <c r="A892" s="127"/>
      <c r="B892" s="211"/>
      <c r="D892" s="211"/>
    </row>
    <row r="893" ht="15.75" customHeight="1">
      <c r="A893" s="127"/>
      <c r="B893" s="211"/>
      <c r="D893" s="211"/>
    </row>
    <row r="894" ht="15.75" customHeight="1">
      <c r="A894" s="127"/>
      <c r="B894" s="211"/>
      <c r="D894" s="211"/>
    </row>
    <row r="895" ht="15.75" customHeight="1">
      <c r="A895" s="127"/>
      <c r="B895" s="211"/>
      <c r="D895" s="211"/>
    </row>
    <row r="896" ht="15.75" customHeight="1">
      <c r="A896" s="127"/>
      <c r="B896" s="211"/>
      <c r="D896" s="211"/>
    </row>
    <row r="897" ht="15.75" customHeight="1">
      <c r="A897" s="127"/>
      <c r="B897" s="211"/>
      <c r="D897" s="211"/>
    </row>
    <row r="898" ht="15.75" customHeight="1">
      <c r="A898" s="127"/>
      <c r="B898" s="211"/>
      <c r="D898" s="211"/>
    </row>
    <row r="899" ht="15.75" customHeight="1">
      <c r="A899" s="127"/>
      <c r="B899" s="211"/>
      <c r="D899" s="211"/>
    </row>
    <row r="900" ht="15.75" customHeight="1">
      <c r="A900" s="127"/>
      <c r="B900" s="211"/>
      <c r="D900" s="211"/>
    </row>
    <row r="901" ht="15.75" customHeight="1">
      <c r="A901" s="127"/>
      <c r="B901" s="211"/>
      <c r="D901" s="211"/>
    </row>
    <row r="902" ht="15.75" customHeight="1">
      <c r="A902" s="127"/>
      <c r="B902" s="211"/>
      <c r="D902" s="211"/>
    </row>
    <row r="903" ht="15.75" customHeight="1">
      <c r="A903" s="127"/>
      <c r="B903" s="211"/>
      <c r="D903" s="211"/>
    </row>
    <row r="904" ht="15.75" customHeight="1">
      <c r="A904" s="127"/>
      <c r="B904" s="211"/>
      <c r="D904" s="211"/>
    </row>
    <row r="905" ht="15.75" customHeight="1">
      <c r="A905" s="127"/>
      <c r="B905" s="211"/>
      <c r="D905" s="211"/>
    </row>
    <row r="906" ht="15.75" customHeight="1">
      <c r="A906" s="127"/>
      <c r="B906" s="211"/>
      <c r="D906" s="211"/>
    </row>
    <row r="907" ht="15.75" customHeight="1">
      <c r="A907" s="127"/>
      <c r="B907" s="211"/>
      <c r="D907" s="211"/>
    </row>
    <row r="908" ht="15.75" customHeight="1">
      <c r="A908" s="127"/>
      <c r="B908" s="211"/>
      <c r="D908" s="211"/>
    </row>
    <row r="909" ht="15.75" customHeight="1">
      <c r="A909" s="127"/>
      <c r="B909" s="211"/>
      <c r="D909" s="211"/>
    </row>
    <row r="910" ht="15.75" customHeight="1">
      <c r="A910" s="127"/>
      <c r="B910" s="211"/>
      <c r="D910" s="211"/>
    </row>
    <row r="911" ht="15.75" customHeight="1">
      <c r="A911" s="127"/>
      <c r="B911" s="211"/>
      <c r="D911" s="211"/>
    </row>
    <row r="912" ht="15.75" customHeight="1">
      <c r="A912" s="127"/>
      <c r="B912" s="211"/>
      <c r="D912" s="211"/>
    </row>
    <row r="913" ht="15.75" customHeight="1">
      <c r="A913" s="127"/>
      <c r="B913" s="211"/>
      <c r="D913" s="211"/>
    </row>
    <row r="914" ht="15.75" customHeight="1">
      <c r="A914" s="127"/>
      <c r="B914" s="211"/>
      <c r="D914" s="211"/>
    </row>
    <row r="915" ht="15.75" customHeight="1">
      <c r="A915" s="127"/>
      <c r="B915" s="211"/>
      <c r="D915" s="211"/>
    </row>
    <row r="916" ht="15.75" customHeight="1">
      <c r="A916" s="127"/>
      <c r="B916" s="211"/>
      <c r="D916" s="211"/>
    </row>
    <row r="917" ht="15.75" customHeight="1">
      <c r="A917" s="127"/>
      <c r="B917" s="211"/>
      <c r="D917" s="211"/>
    </row>
    <row r="918" ht="15.75" customHeight="1">
      <c r="A918" s="127"/>
      <c r="B918" s="211"/>
      <c r="D918" s="211"/>
    </row>
    <row r="919" ht="15.75" customHeight="1">
      <c r="A919" s="127"/>
      <c r="B919" s="211"/>
      <c r="D919" s="211"/>
    </row>
    <row r="920" ht="15.75" customHeight="1">
      <c r="A920" s="127"/>
      <c r="B920" s="211"/>
      <c r="D920" s="211"/>
    </row>
    <row r="921" ht="15.75" customHeight="1">
      <c r="A921" s="127"/>
      <c r="B921" s="211"/>
      <c r="D921" s="211"/>
    </row>
    <row r="922" ht="15.75" customHeight="1">
      <c r="A922" s="127"/>
      <c r="B922" s="211"/>
      <c r="D922" s="211"/>
    </row>
    <row r="923" ht="15.75" customHeight="1">
      <c r="A923" s="127"/>
      <c r="B923" s="211"/>
      <c r="D923" s="211"/>
    </row>
    <row r="924" ht="15.75" customHeight="1">
      <c r="A924" s="127"/>
      <c r="B924" s="211"/>
      <c r="D924" s="211"/>
    </row>
    <row r="925" ht="15.75" customHeight="1">
      <c r="A925" s="127"/>
      <c r="B925" s="211"/>
      <c r="D925" s="211"/>
    </row>
    <row r="926" ht="15.75" customHeight="1">
      <c r="A926" s="127"/>
      <c r="B926" s="211"/>
      <c r="D926" s="211"/>
    </row>
    <row r="927" ht="15.75" customHeight="1">
      <c r="A927" s="127"/>
      <c r="B927" s="211"/>
      <c r="D927" s="211"/>
    </row>
    <row r="928" ht="15.75" customHeight="1">
      <c r="A928" s="127"/>
      <c r="B928" s="211"/>
      <c r="D928" s="211"/>
    </row>
    <row r="929" ht="15.75" customHeight="1">
      <c r="A929" s="127"/>
      <c r="B929" s="211"/>
      <c r="D929" s="211"/>
    </row>
    <row r="930" ht="15.75" customHeight="1">
      <c r="A930" s="127"/>
      <c r="B930" s="211"/>
      <c r="D930" s="211"/>
    </row>
    <row r="931" ht="15.75" customHeight="1">
      <c r="A931" s="127"/>
      <c r="B931" s="211"/>
      <c r="D931" s="211"/>
    </row>
    <row r="932" ht="15.75" customHeight="1">
      <c r="A932" s="127"/>
      <c r="B932" s="211"/>
      <c r="D932" s="211"/>
    </row>
    <row r="933" ht="15.75" customHeight="1">
      <c r="A933" s="127"/>
      <c r="B933" s="211"/>
      <c r="D933" s="211"/>
    </row>
    <row r="934" ht="15.75" customHeight="1">
      <c r="A934" s="127"/>
      <c r="B934" s="211"/>
      <c r="D934" s="211"/>
    </row>
    <row r="935" ht="15.75" customHeight="1">
      <c r="A935" s="127"/>
      <c r="B935" s="211"/>
      <c r="D935" s="211"/>
    </row>
    <row r="936" ht="15.75" customHeight="1">
      <c r="A936" s="127"/>
      <c r="B936" s="211"/>
      <c r="D936" s="211"/>
    </row>
    <row r="937" ht="15.75" customHeight="1">
      <c r="A937" s="127"/>
      <c r="B937" s="211"/>
      <c r="D937" s="211"/>
    </row>
    <row r="938" ht="15.75" customHeight="1">
      <c r="A938" s="127"/>
      <c r="B938" s="211"/>
      <c r="D938" s="211"/>
    </row>
    <row r="939" ht="15.75" customHeight="1">
      <c r="A939" s="127"/>
      <c r="B939" s="211"/>
      <c r="D939" s="211"/>
    </row>
    <row r="940" ht="15.75" customHeight="1">
      <c r="A940" s="127"/>
      <c r="B940" s="211"/>
      <c r="D940" s="211"/>
    </row>
    <row r="941" ht="15.75" customHeight="1">
      <c r="A941" s="127"/>
      <c r="B941" s="211"/>
      <c r="D941" s="211"/>
    </row>
    <row r="942" ht="15.75" customHeight="1">
      <c r="A942" s="127"/>
      <c r="B942" s="211"/>
      <c r="D942" s="211"/>
    </row>
    <row r="943" ht="15.75" customHeight="1">
      <c r="A943" s="127"/>
      <c r="B943" s="211"/>
      <c r="D943" s="211"/>
    </row>
    <row r="944" ht="15.75" customHeight="1">
      <c r="A944" s="127"/>
      <c r="B944" s="211"/>
      <c r="D944" s="211"/>
    </row>
    <row r="945" ht="15.75" customHeight="1">
      <c r="A945" s="127"/>
      <c r="B945" s="211"/>
      <c r="D945" s="211"/>
    </row>
    <row r="946" ht="15.75" customHeight="1">
      <c r="A946" s="127"/>
      <c r="B946" s="211"/>
      <c r="D946" s="211"/>
    </row>
    <row r="947" ht="15.75" customHeight="1">
      <c r="A947" s="127"/>
      <c r="B947" s="211"/>
      <c r="D947" s="211"/>
    </row>
    <row r="948" ht="15.75" customHeight="1">
      <c r="A948" s="127"/>
      <c r="B948" s="211"/>
      <c r="D948" s="211"/>
    </row>
    <row r="949" ht="15.75" customHeight="1">
      <c r="A949" s="127"/>
      <c r="B949" s="211"/>
      <c r="D949" s="211"/>
    </row>
    <row r="950" ht="15.75" customHeight="1">
      <c r="A950" s="127"/>
      <c r="B950" s="211"/>
      <c r="D950" s="211"/>
    </row>
    <row r="951" ht="15.75" customHeight="1">
      <c r="A951" s="127"/>
      <c r="B951" s="211"/>
      <c r="D951" s="211"/>
    </row>
    <row r="952" ht="15.75" customHeight="1">
      <c r="A952" s="127"/>
      <c r="B952" s="211"/>
      <c r="D952" s="211"/>
    </row>
    <row r="953" ht="15.75" customHeight="1">
      <c r="A953" s="127"/>
      <c r="B953" s="211"/>
      <c r="D953" s="211"/>
    </row>
    <row r="954" ht="15.75" customHeight="1">
      <c r="A954" s="127"/>
      <c r="B954" s="211"/>
      <c r="D954" s="211"/>
    </row>
    <row r="955" ht="15.75" customHeight="1">
      <c r="A955" s="127"/>
      <c r="B955" s="211"/>
      <c r="D955" s="211"/>
    </row>
    <row r="956" ht="15.75" customHeight="1">
      <c r="A956" s="127"/>
      <c r="B956" s="211"/>
      <c r="D956" s="211"/>
    </row>
    <row r="957" ht="15.75" customHeight="1">
      <c r="A957" s="127"/>
      <c r="B957" s="211"/>
      <c r="D957" s="211"/>
    </row>
    <row r="958" ht="15.75" customHeight="1">
      <c r="A958" s="127"/>
      <c r="B958" s="211"/>
      <c r="D958" s="211"/>
    </row>
    <row r="959" ht="15.75" customHeight="1">
      <c r="A959" s="127"/>
      <c r="B959" s="211"/>
      <c r="D959" s="211"/>
    </row>
    <row r="960" ht="15.75" customHeight="1">
      <c r="A960" s="127"/>
      <c r="B960" s="211"/>
      <c r="D960" s="211"/>
    </row>
    <row r="961" ht="15.75" customHeight="1">
      <c r="A961" s="127"/>
      <c r="B961" s="211"/>
      <c r="D961" s="211"/>
    </row>
    <row r="962" ht="15.75" customHeight="1">
      <c r="A962" s="127"/>
      <c r="B962" s="211"/>
      <c r="D962" s="211"/>
    </row>
    <row r="963" ht="15.75" customHeight="1">
      <c r="A963" s="127"/>
      <c r="B963" s="211"/>
      <c r="D963" s="211"/>
    </row>
    <row r="964" ht="15.75" customHeight="1">
      <c r="A964" s="127"/>
      <c r="B964" s="211"/>
      <c r="D964" s="211"/>
    </row>
    <row r="965" ht="15.75" customHeight="1">
      <c r="A965" s="127"/>
      <c r="B965" s="211"/>
      <c r="D965" s="211"/>
    </row>
    <row r="966" ht="15.75" customHeight="1">
      <c r="A966" s="127"/>
      <c r="B966" s="211"/>
      <c r="D966" s="211"/>
    </row>
    <row r="967" ht="15.75" customHeight="1">
      <c r="A967" s="127"/>
      <c r="B967" s="211"/>
      <c r="D967" s="211"/>
    </row>
    <row r="968" ht="15.75" customHeight="1">
      <c r="A968" s="127"/>
      <c r="B968" s="211"/>
      <c r="D968" s="211"/>
    </row>
    <row r="969" ht="15.75" customHeight="1">
      <c r="A969" s="127"/>
      <c r="B969" s="211"/>
      <c r="D969" s="211"/>
    </row>
    <row r="970" ht="15.75" customHeight="1">
      <c r="A970" s="127"/>
      <c r="B970" s="211"/>
      <c r="D970" s="211"/>
    </row>
    <row r="971" ht="15.75" customHeight="1">
      <c r="A971" s="127"/>
      <c r="B971" s="211"/>
      <c r="D971" s="211"/>
    </row>
    <row r="972" ht="15.75" customHeight="1">
      <c r="A972" s="127"/>
      <c r="B972" s="211"/>
      <c r="D972" s="211"/>
    </row>
    <row r="973" ht="15.75" customHeight="1">
      <c r="A973" s="127"/>
      <c r="B973" s="211"/>
      <c r="D973" s="211"/>
    </row>
    <row r="974" ht="15.75" customHeight="1">
      <c r="A974" s="127"/>
      <c r="B974" s="211"/>
      <c r="D974" s="211"/>
    </row>
    <row r="975" ht="15.75" customHeight="1">
      <c r="A975" s="127"/>
      <c r="B975" s="211"/>
      <c r="D975" s="211"/>
    </row>
    <row r="976" ht="15.75" customHeight="1">
      <c r="A976" s="127"/>
      <c r="B976" s="211"/>
      <c r="D976" s="211"/>
    </row>
    <row r="977" ht="15.75" customHeight="1">
      <c r="A977" s="127"/>
      <c r="B977" s="211"/>
      <c r="D977" s="211"/>
    </row>
    <row r="978" ht="15.75" customHeight="1">
      <c r="A978" s="127"/>
      <c r="B978" s="211"/>
      <c r="D978" s="211"/>
    </row>
    <row r="979" ht="15.75" customHeight="1">
      <c r="A979" s="127"/>
      <c r="B979" s="211"/>
      <c r="D979" s="211"/>
    </row>
    <row r="980" ht="15.75" customHeight="1">
      <c r="A980" s="127"/>
      <c r="B980" s="211"/>
      <c r="D980" s="211"/>
    </row>
    <row r="981" ht="15.75" customHeight="1">
      <c r="A981" s="127"/>
      <c r="B981" s="211"/>
      <c r="D981" s="211"/>
    </row>
    <row r="982" ht="15.75" customHeight="1">
      <c r="A982" s="127"/>
      <c r="B982" s="211"/>
      <c r="D982" s="211"/>
    </row>
    <row r="983" ht="15.75" customHeight="1">
      <c r="A983" s="127"/>
      <c r="B983" s="211"/>
      <c r="D983" s="211"/>
    </row>
    <row r="984" ht="15.75" customHeight="1">
      <c r="A984" s="127"/>
      <c r="B984" s="211"/>
      <c r="D984" s="211"/>
    </row>
    <row r="985" ht="15.75" customHeight="1">
      <c r="A985" s="127"/>
      <c r="B985" s="211"/>
      <c r="D985" s="211"/>
    </row>
    <row r="986" ht="15.75" customHeight="1">
      <c r="A986" s="127"/>
      <c r="B986" s="211"/>
      <c r="D986" s="211"/>
    </row>
    <row r="987" ht="15.75" customHeight="1">
      <c r="A987" s="127"/>
      <c r="B987" s="211"/>
      <c r="D987" s="211"/>
    </row>
    <row r="988" ht="15.75" customHeight="1">
      <c r="A988" s="127"/>
      <c r="B988" s="211"/>
      <c r="D988" s="211"/>
    </row>
    <row r="989" ht="15.75" customHeight="1">
      <c r="A989" s="127"/>
      <c r="B989" s="211"/>
      <c r="D989" s="211"/>
    </row>
    <row r="990" ht="15.75" customHeight="1">
      <c r="A990" s="127"/>
      <c r="B990" s="211"/>
      <c r="D990" s="211"/>
    </row>
    <row r="991" ht="15.75" customHeight="1">
      <c r="A991" s="127"/>
      <c r="B991" s="211"/>
      <c r="D991" s="211"/>
    </row>
    <row r="992" ht="15.75" customHeight="1">
      <c r="A992" s="127"/>
      <c r="B992" s="211"/>
      <c r="D992" s="211"/>
    </row>
    <row r="993" ht="15.75" customHeight="1">
      <c r="A993" s="127"/>
      <c r="B993" s="211"/>
      <c r="D993" s="211"/>
    </row>
    <row r="994" ht="15.75" customHeight="1">
      <c r="A994" s="127"/>
      <c r="B994" s="211"/>
      <c r="D994" s="211"/>
    </row>
    <row r="995" ht="15.75" customHeight="1">
      <c r="A995" s="127"/>
      <c r="B995" s="211"/>
      <c r="D995" s="211"/>
    </row>
    <row r="996" ht="15.75" customHeight="1">
      <c r="A996" s="127"/>
      <c r="B996" s="211"/>
      <c r="D996" s="211"/>
    </row>
    <row r="997" ht="15.75" customHeight="1">
      <c r="A997" s="127"/>
      <c r="B997" s="211"/>
      <c r="D997" s="211"/>
    </row>
    <row r="998" ht="15.75" customHeight="1">
      <c r="A998" s="127"/>
      <c r="B998" s="211"/>
      <c r="D998" s="211"/>
    </row>
    <row r="999" ht="15.75" customHeight="1">
      <c r="A999" s="127"/>
      <c r="B999" s="211"/>
      <c r="D999" s="211"/>
    </row>
    <row r="1000" ht="15.75" customHeight="1">
      <c r="A1000" s="127"/>
      <c r="B1000" s="211"/>
      <c r="D1000" s="211"/>
    </row>
    <row r="1001" ht="15.75" customHeight="1">
      <c r="A1001" s="127"/>
      <c r="B1001" s="211"/>
      <c r="D1001" s="211"/>
    </row>
    <row r="1002" ht="15.75" customHeight="1">
      <c r="A1002" s="127"/>
      <c r="B1002" s="211"/>
      <c r="D1002" s="211"/>
    </row>
    <row r="1003" ht="15.75" customHeight="1">
      <c r="A1003" s="127"/>
      <c r="B1003" s="211"/>
      <c r="D1003" s="211"/>
    </row>
    <row r="1004" ht="15.75" customHeight="1">
      <c r="A1004" s="127"/>
      <c r="B1004" s="211"/>
      <c r="D1004" s="211"/>
    </row>
    <row r="1005" ht="15.75" customHeight="1">
      <c r="A1005" s="127"/>
      <c r="B1005" s="211"/>
      <c r="D1005" s="211"/>
    </row>
    <row r="1006" ht="15.75" customHeight="1">
      <c r="A1006" s="127"/>
      <c r="B1006" s="211"/>
      <c r="D1006" s="211"/>
    </row>
    <row r="1007" ht="15.75" customHeight="1">
      <c r="A1007" s="127"/>
      <c r="B1007" s="211"/>
      <c r="D1007" s="211"/>
    </row>
    <row r="1008" ht="15.75" customHeight="1">
      <c r="A1008" s="127"/>
      <c r="B1008" s="211"/>
      <c r="D1008" s="211"/>
    </row>
    <row r="1009" ht="15.75" customHeight="1">
      <c r="A1009" s="127"/>
      <c r="B1009" s="211"/>
      <c r="D1009" s="211"/>
    </row>
    <row r="1010" ht="15.75" customHeight="1">
      <c r="A1010" s="127"/>
      <c r="B1010" s="211"/>
      <c r="D1010" s="211"/>
    </row>
    <row r="1011" ht="15.75" customHeight="1">
      <c r="A1011" s="127"/>
      <c r="B1011" s="211"/>
      <c r="D1011" s="211"/>
    </row>
    <row r="1012" ht="15.75" customHeight="1">
      <c r="A1012" s="127"/>
      <c r="B1012" s="211"/>
      <c r="D1012" s="211"/>
    </row>
    <row r="1013" ht="15.75" customHeight="1">
      <c r="A1013" s="127"/>
      <c r="B1013" s="211"/>
      <c r="D1013" s="211"/>
    </row>
    <row r="1014" ht="15.75" customHeight="1">
      <c r="A1014" s="127"/>
      <c r="B1014" s="211"/>
      <c r="D1014" s="211"/>
    </row>
    <row r="1015" ht="15.75" customHeight="1">
      <c r="A1015" s="127"/>
      <c r="B1015" s="211"/>
      <c r="D1015" s="211"/>
    </row>
    <row r="1016" ht="15.75" customHeight="1">
      <c r="A1016" s="127"/>
      <c r="B1016" s="211"/>
      <c r="D1016" s="211"/>
    </row>
    <row r="1017" ht="15.75" customHeight="1">
      <c r="A1017" s="127"/>
      <c r="B1017" s="211"/>
      <c r="D1017" s="211"/>
    </row>
    <row r="1018" ht="15.75" customHeight="1">
      <c r="A1018" s="127"/>
      <c r="B1018" s="211"/>
      <c r="D1018" s="211"/>
    </row>
  </sheetData>
  <mergeCells count="19">
    <mergeCell ref="N2:N3"/>
    <mergeCell ref="O2:O3"/>
    <mergeCell ref="G26:H26"/>
    <mergeCell ref="B49:C49"/>
    <mergeCell ref="P2:P3"/>
    <mergeCell ref="Q2:Q3"/>
    <mergeCell ref="R2:R3"/>
    <mergeCell ref="S2:S3"/>
    <mergeCell ref="T2:T3"/>
    <mergeCell ref="U2:U3"/>
    <mergeCell ref="Y100:Z100"/>
    <mergeCell ref="A1:D1"/>
    <mergeCell ref="F1:I1"/>
    <mergeCell ref="K1:V1"/>
    <mergeCell ref="X1:AD1"/>
    <mergeCell ref="K2:K3"/>
    <mergeCell ref="L2:L3"/>
    <mergeCell ref="M2:M3"/>
    <mergeCell ref="V2:V3"/>
  </mergeCells>
  <conditionalFormatting sqref="P52">
    <cfRule type="notContainsBlanks" dxfId="0" priority="1">
      <formula>LEN(TRIM(P52))&gt;0</formula>
    </cfRule>
  </conditionalFormatting>
  <conditionalFormatting sqref="V4:V14 S18:S28 R33:R34 R36:R41 N45:N55">
    <cfRule type="cellIs" dxfId="1" priority="2" operator="notEqual">
      <formula>0</formula>
    </cfRule>
  </conditionalFormatting>
  <dataValidations>
    <dataValidation type="list" allowBlank="1" showErrorMessage="1" sqref="F3:F25 H3:H25">
      <formula1>"NONE,2.7KG,2.7KG FIESTA,7KG PASAK,7KG RUSKAS,11KG PASAK,11KG RUSKAS,ELITE PASAK,ELITE RUSKAS,22KG,50KG BLUE,50KG CODED"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0.29"/>
    <col customWidth="1" min="3" max="3" width="9.14"/>
    <col customWidth="1" min="4" max="4" width="16.29"/>
    <col customWidth="1" min="5" max="5" width="9.14"/>
    <col customWidth="1" min="6" max="6" width="21.43"/>
    <col customWidth="1" min="7" max="7" width="18.86"/>
    <col customWidth="1" min="8" max="8" width="20.57"/>
    <col customWidth="1" min="9" max="9" width="15.71"/>
    <col customWidth="1" min="10" max="10" width="9.14"/>
    <col customWidth="1" min="11" max="11" width="38.29"/>
    <col customWidth="1" min="12" max="12" width="12.43"/>
    <col customWidth="1" min="13" max="14" width="12.14"/>
    <col customWidth="1" min="15" max="15" width="12.86"/>
    <col customWidth="1" min="16" max="16" width="13.43"/>
    <col customWidth="1" min="17" max="17" width="13.29"/>
    <col customWidth="1" min="18" max="18" width="14.0"/>
    <col customWidth="1" min="19" max="19" width="13.29"/>
    <col customWidth="1" min="20" max="20" width="11.0"/>
    <col customWidth="1" min="21" max="21" width="11.86"/>
    <col customWidth="1" min="22" max="22" width="9.14"/>
    <col customWidth="1" min="23" max="23" width="10.43"/>
  </cols>
  <sheetData>
    <row r="1" ht="14.25" customHeight="1">
      <c r="A1" s="62"/>
      <c r="B1" s="63"/>
      <c r="C1" s="63"/>
      <c r="D1" s="64"/>
      <c r="E1" s="65"/>
      <c r="F1" s="66" t="s">
        <v>74</v>
      </c>
      <c r="G1" s="63"/>
      <c r="H1" s="63"/>
      <c r="I1" s="64"/>
      <c r="J1" s="221" t="s">
        <v>237</v>
      </c>
      <c r="K1" s="67" t="s">
        <v>75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8"/>
      <c r="X1" s="69" t="s">
        <v>76</v>
      </c>
      <c r="Y1" s="63"/>
      <c r="Z1" s="63"/>
      <c r="AA1" s="63"/>
      <c r="AB1" s="63"/>
      <c r="AC1" s="63"/>
      <c r="AD1" s="64"/>
    </row>
    <row r="2" ht="14.25" customHeight="1">
      <c r="A2" s="70" t="s">
        <v>77</v>
      </c>
      <c r="B2" s="71" t="s">
        <v>78</v>
      </c>
      <c r="C2" s="72" t="s">
        <v>79</v>
      </c>
      <c r="D2" s="73" t="s">
        <v>80</v>
      </c>
      <c r="E2" s="65"/>
      <c r="F2" s="72" t="s">
        <v>81</v>
      </c>
      <c r="G2" s="71" t="s">
        <v>82</v>
      </c>
      <c r="H2" s="72" t="s">
        <v>83</v>
      </c>
      <c r="I2" s="74" t="s">
        <v>80</v>
      </c>
      <c r="J2" s="65"/>
      <c r="K2" s="75" t="s">
        <v>84</v>
      </c>
      <c r="L2" s="76" t="s">
        <v>85</v>
      </c>
      <c r="M2" s="77" t="s">
        <v>86</v>
      </c>
      <c r="N2" s="77" t="s">
        <v>87</v>
      </c>
      <c r="O2" s="75" t="s">
        <v>79</v>
      </c>
      <c r="P2" s="75" t="s">
        <v>88</v>
      </c>
      <c r="Q2" s="78" t="s">
        <v>89</v>
      </c>
      <c r="R2" s="78" t="s">
        <v>90</v>
      </c>
      <c r="S2" s="78" t="s">
        <v>91</v>
      </c>
      <c r="T2" s="79" t="s">
        <v>92</v>
      </c>
      <c r="U2" s="79" t="s">
        <v>93</v>
      </c>
      <c r="V2" s="80" t="s">
        <v>94</v>
      </c>
      <c r="W2" s="68"/>
      <c r="X2" s="81" t="s">
        <v>95</v>
      </c>
      <c r="Y2" s="81" t="s">
        <v>96</v>
      </c>
      <c r="Z2" s="81" t="s">
        <v>97</v>
      </c>
      <c r="AA2" s="81" t="s">
        <v>98</v>
      </c>
      <c r="AB2" s="81" t="s">
        <v>99</v>
      </c>
      <c r="AC2" s="81" t="s">
        <v>100</v>
      </c>
      <c r="AD2" s="81" t="s">
        <v>101</v>
      </c>
    </row>
    <row r="3" ht="14.25" customHeight="1">
      <c r="A3" s="82" t="s">
        <v>102</v>
      </c>
      <c r="B3" s="83"/>
      <c r="C3" s="84"/>
      <c r="D3" s="85"/>
      <c r="E3" s="65"/>
      <c r="F3" s="86" t="s">
        <v>135</v>
      </c>
      <c r="G3" s="87">
        <v>0.0</v>
      </c>
      <c r="H3" s="88" t="s">
        <v>108</v>
      </c>
      <c r="I3" s="89" t="str">
        <f t="shared" ref="I3:I25" si="1">IF(AND(F3&lt;&gt;"NONE",H3&lt;&gt;"NONE", G3&gt;0),VLOOKUP(H3,$A$52:$B$63,2,FALSE)-G3+VLOOKUP(H3,$A$25:$B$36,2,FALSE),"")</f>
        <v/>
      </c>
      <c r="J3" s="65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68"/>
      <c r="X3" s="91">
        <v>209776.0</v>
      </c>
      <c r="Y3" s="92" t="s">
        <v>238</v>
      </c>
      <c r="Z3" s="92" t="s">
        <v>154</v>
      </c>
      <c r="AA3" s="92">
        <v>280.0</v>
      </c>
      <c r="AB3" s="93"/>
      <c r="AC3" s="93"/>
      <c r="AD3" s="94"/>
    </row>
    <row r="4" ht="14.25" customHeight="1">
      <c r="A4" s="95" t="s">
        <v>107</v>
      </c>
      <c r="B4" s="12">
        <v>650.0</v>
      </c>
      <c r="C4" s="96">
        <v>0.0</v>
      </c>
      <c r="D4" s="97">
        <f t="shared" ref="D4:D5" si="2">C4*B4</f>
        <v>0</v>
      </c>
      <c r="E4" s="65"/>
      <c r="F4" s="98" t="s">
        <v>135</v>
      </c>
      <c r="G4" s="16">
        <v>0.0</v>
      </c>
      <c r="H4" s="96" t="s">
        <v>108</v>
      </c>
      <c r="I4" s="89" t="str">
        <f t="shared" si="1"/>
        <v/>
      </c>
      <c r="J4" s="65"/>
      <c r="K4" s="95" t="s">
        <v>109</v>
      </c>
      <c r="L4" s="189">
        <f>'DAILY STOCKS (W)'!U4</f>
        <v>18</v>
      </c>
      <c r="M4" s="99">
        <v>0.0</v>
      </c>
      <c r="N4" s="99">
        <v>0.0</v>
      </c>
      <c r="O4" s="100">
        <f t="shared" ref="O4:O14" si="3">C14</f>
        <v>0</v>
      </c>
      <c r="P4" s="100">
        <f t="shared" ref="P4:P14" si="4">C26</f>
        <v>5</v>
      </c>
      <c r="Q4" s="100">
        <f t="shared" ref="Q4:Q14" si="5">COUNTIF($H$3:$H$25,K4)</f>
        <v>0</v>
      </c>
      <c r="R4" s="101">
        <f t="shared" ref="R4:R14" si="6">C38</f>
        <v>0</v>
      </c>
      <c r="S4" s="99"/>
      <c r="T4" s="100">
        <f t="shared" ref="T4:T14" si="7">L4+M4+N4-O4-P4-Q4-R4-S4</f>
        <v>13</v>
      </c>
      <c r="U4" s="102">
        <v>13.0</v>
      </c>
      <c r="V4" s="103">
        <f t="shared" ref="V4:V14" si="8">U4-T4</f>
        <v>0</v>
      </c>
      <c r="W4" s="68"/>
      <c r="X4" s="98">
        <v>209777.0</v>
      </c>
      <c r="Y4" s="96" t="s">
        <v>239</v>
      </c>
      <c r="Z4" s="96" t="s">
        <v>181</v>
      </c>
      <c r="AA4" s="96">
        <v>988.0</v>
      </c>
      <c r="AB4" s="96">
        <v>25.0</v>
      </c>
      <c r="AC4" s="104"/>
      <c r="AD4" s="105"/>
    </row>
    <row r="5" ht="14.25" customHeight="1">
      <c r="A5" s="95" t="s">
        <v>111</v>
      </c>
      <c r="B5" s="12">
        <v>375.0</v>
      </c>
      <c r="C5" s="106">
        <v>0.0</v>
      </c>
      <c r="D5" s="97">
        <f t="shared" si="2"/>
        <v>0</v>
      </c>
      <c r="E5" s="65"/>
      <c r="F5" s="98" t="s">
        <v>135</v>
      </c>
      <c r="G5" s="16">
        <v>0.0</v>
      </c>
      <c r="H5" s="96" t="s">
        <v>108</v>
      </c>
      <c r="I5" s="89" t="str">
        <f t="shared" si="1"/>
        <v/>
      </c>
      <c r="J5" s="65"/>
      <c r="K5" s="107" t="s">
        <v>112</v>
      </c>
      <c r="L5" s="189">
        <f>'DAILY STOCKS (W)'!U5</f>
        <v>8</v>
      </c>
      <c r="M5" s="108">
        <v>0.0</v>
      </c>
      <c r="N5" s="99">
        <v>0.0</v>
      </c>
      <c r="O5" s="100">
        <f t="shared" si="3"/>
        <v>0</v>
      </c>
      <c r="P5" s="100">
        <f t="shared" si="4"/>
        <v>1</v>
      </c>
      <c r="Q5" s="100">
        <f t="shared" si="5"/>
        <v>0</v>
      </c>
      <c r="R5" s="101">
        <f t="shared" si="6"/>
        <v>0</v>
      </c>
      <c r="S5" s="109"/>
      <c r="T5" s="100">
        <f t="shared" si="7"/>
        <v>7</v>
      </c>
      <c r="U5" s="102">
        <v>7.0</v>
      </c>
      <c r="V5" s="103">
        <f t="shared" si="8"/>
        <v>0</v>
      </c>
      <c r="W5" s="68"/>
      <c r="X5" s="98">
        <v>209778.0</v>
      </c>
      <c r="Y5" s="96" t="s">
        <v>240</v>
      </c>
      <c r="Z5" s="96" t="s">
        <v>154</v>
      </c>
      <c r="AA5" s="96">
        <v>280.0</v>
      </c>
      <c r="AB5" s="104"/>
      <c r="AC5" s="104"/>
      <c r="AD5" s="105"/>
    </row>
    <row r="6" ht="14.25" customHeight="1">
      <c r="A6" s="110" t="s">
        <v>114</v>
      </c>
      <c r="B6" s="111"/>
      <c r="C6" s="112"/>
      <c r="D6" s="113"/>
      <c r="E6" s="65"/>
      <c r="F6" s="98" t="s">
        <v>108</v>
      </c>
      <c r="G6" s="12"/>
      <c r="H6" s="96" t="s">
        <v>108</v>
      </c>
      <c r="I6" s="89" t="str">
        <f t="shared" si="1"/>
        <v/>
      </c>
      <c r="J6" s="65"/>
      <c r="K6" s="107" t="s">
        <v>115</v>
      </c>
      <c r="L6" s="189">
        <f>'DAILY STOCKS (W)'!U6</f>
        <v>13</v>
      </c>
      <c r="M6" s="108">
        <v>0.0</v>
      </c>
      <c r="N6" s="99">
        <v>0.0</v>
      </c>
      <c r="O6" s="100">
        <f t="shared" si="3"/>
        <v>0</v>
      </c>
      <c r="P6" s="100">
        <f t="shared" si="4"/>
        <v>1</v>
      </c>
      <c r="Q6" s="100">
        <f t="shared" si="5"/>
        <v>0</v>
      </c>
      <c r="R6" s="101">
        <f t="shared" si="6"/>
        <v>0</v>
      </c>
      <c r="S6" s="109"/>
      <c r="T6" s="100">
        <f t="shared" si="7"/>
        <v>12</v>
      </c>
      <c r="U6" s="102">
        <v>12.0</v>
      </c>
      <c r="V6" s="103">
        <f t="shared" si="8"/>
        <v>0</v>
      </c>
      <c r="W6" s="68"/>
      <c r="X6" s="98">
        <v>209779.0</v>
      </c>
      <c r="Y6" s="96" t="s">
        <v>241</v>
      </c>
      <c r="Z6" s="96" t="s">
        <v>172</v>
      </c>
      <c r="AA6" s="104"/>
      <c r="AB6" s="96">
        <v>75.0</v>
      </c>
      <c r="AC6" s="96">
        <v>938.0</v>
      </c>
      <c r="AD6" s="105"/>
    </row>
    <row r="7" ht="14.25" customHeight="1">
      <c r="A7" s="95" t="s">
        <v>118</v>
      </c>
      <c r="B7" s="12">
        <v>650.0</v>
      </c>
      <c r="C7" s="106">
        <v>0.0</v>
      </c>
      <c r="D7" s="97">
        <f t="shared" ref="D7:D12" si="9">C7*B7</f>
        <v>0</v>
      </c>
      <c r="E7" s="65"/>
      <c r="F7" s="98" t="s">
        <v>108</v>
      </c>
      <c r="G7" s="12"/>
      <c r="H7" s="96" t="s">
        <v>108</v>
      </c>
      <c r="I7" s="89" t="str">
        <f t="shared" si="1"/>
        <v/>
      </c>
      <c r="J7" s="65"/>
      <c r="K7" s="107" t="s">
        <v>119</v>
      </c>
      <c r="L7" s="189">
        <f>'DAILY STOCKS (W)'!U7</f>
        <v>5</v>
      </c>
      <c r="M7" s="108">
        <v>0.0</v>
      </c>
      <c r="N7" s="99">
        <v>0.0</v>
      </c>
      <c r="O7" s="100">
        <f t="shared" si="3"/>
        <v>0</v>
      </c>
      <c r="P7" s="100">
        <f t="shared" si="4"/>
        <v>0</v>
      </c>
      <c r="Q7" s="100">
        <f t="shared" si="5"/>
        <v>0</v>
      </c>
      <c r="R7" s="101">
        <f t="shared" si="6"/>
        <v>0</v>
      </c>
      <c r="S7" s="109"/>
      <c r="T7" s="100">
        <f t="shared" si="7"/>
        <v>5</v>
      </c>
      <c r="U7" s="102">
        <v>5.0</v>
      </c>
      <c r="V7" s="103">
        <f t="shared" si="8"/>
        <v>0</v>
      </c>
      <c r="W7" s="68"/>
      <c r="X7" s="98">
        <v>209780.0</v>
      </c>
      <c r="Y7" s="96" t="s">
        <v>242</v>
      </c>
      <c r="Z7" s="96" t="s">
        <v>172</v>
      </c>
      <c r="AA7" s="96">
        <v>938.0</v>
      </c>
      <c r="AB7" s="96">
        <v>75.0</v>
      </c>
      <c r="AC7" s="104"/>
      <c r="AD7" s="105"/>
    </row>
    <row r="8" ht="14.25" customHeight="1">
      <c r="A8" s="95" t="s">
        <v>121</v>
      </c>
      <c r="B8" s="12">
        <v>180.0</v>
      </c>
      <c r="C8" s="106">
        <v>0.0</v>
      </c>
      <c r="D8" s="97">
        <f t="shared" si="9"/>
        <v>0</v>
      </c>
      <c r="E8" s="65"/>
      <c r="F8" s="98" t="s">
        <v>108</v>
      </c>
      <c r="G8" s="12"/>
      <c r="H8" s="96" t="s">
        <v>108</v>
      </c>
      <c r="I8" s="89" t="str">
        <f t="shared" si="1"/>
        <v/>
      </c>
      <c r="J8" s="65"/>
      <c r="K8" s="107" t="s">
        <v>103</v>
      </c>
      <c r="L8" s="189">
        <f>'DAILY STOCKS (W)'!U8</f>
        <v>7</v>
      </c>
      <c r="M8" s="108">
        <v>0.0</v>
      </c>
      <c r="N8" s="99">
        <v>5.0</v>
      </c>
      <c r="O8" s="100">
        <f t="shared" si="3"/>
        <v>0</v>
      </c>
      <c r="P8" s="100">
        <f t="shared" si="4"/>
        <v>12</v>
      </c>
      <c r="Q8" s="100">
        <f t="shared" si="5"/>
        <v>0</v>
      </c>
      <c r="R8" s="101">
        <f t="shared" si="6"/>
        <v>0</v>
      </c>
      <c r="S8" s="99"/>
      <c r="T8" s="100">
        <f t="shared" si="7"/>
        <v>0</v>
      </c>
      <c r="U8" s="102">
        <v>0.0</v>
      </c>
      <c r="V8" s="103">
        <f t="shared" si="8"/>
        <v>0</v>
      </c>
      <c r="W8" s="68"/>
      <c r="X8" s="98">
        <v>209781.0</v>
      </c>
      <c r="Y8" s="96" t="s">
        <v>243</v>
      </c>
      <c r="Z8" s="96" t="s">
        <v>172</v>
      </c>
      <c r="AA8" s="96">
        <v>988.0</v>
      </c>
      <c r="AB8" s="96">
        <v>25.0</v>
      </c>
      <c r="AC8" s="104"/>
      <c r="AD8" s="105"/>
    </row>
    <row r="9" ht="14.25" customHeight="1">
      <c r="A9" s="95" t="s">
        <v>123</v>
      </c>
      <c r="B9" s="12">
        <v>20.0</v>
      </c>
      <c r="C9" s="106">
        <v>0.0</v>
      </c>
      <c r="D9" s="97">
        <f t="shared" si="9"/>
        <v>0</v>
      </c>
      <c r="E9" s="65"/>
      <c r="F9" s="98" t="s">
        <v>108</v>
      </c>
      <c r="G9" s="12"/>
      <c r="H9" s="96" t="s">
        <v>108</v>
      </c>
      <c r="I9" s="89" t="str">
        <f t="shared" si="1"/>
        <v/>
      </c>
      <c r="J9" s="65"/>
      <c r="K9" s="107" t="s">
        <v>104</v>
      </c>
      <c r="L9" s="189">
        <f>'DAILY STOCKS (W)'!U9</f>
        <v>26</v>
      </c>
      <c r="M9" s="108">
        <v>0.0</v>
      </c>
      <c r="N9" s="99">
        <v>2.0</v>
      </c>
      <c r="O9" s="100">
        <f t="shared" si="3"/>
        <v>0</v>
      </c>
      <c r="P9" s="100">
        <f t="shared" si="4"/>
        <v>14</v>
      </c>
      <c r="Q9" s="100">
        <f t="shared" si="5"/>
        <v>0</v>
      </c>
      <c r="R9" s="101">
        <f t="shared" si="6"/>
        <v>0</v>
      </c>
      <c r="S9" s="99"/>
      <c r="T9" s="100">
        <f t="shared" si="7"/>
        <v>14</v>
      </c>
      <c r="U9" s="102">
        <v>15.0</v>
      </c>
      <c r="V9" s="103">
        <f t="shared" si="8"/>
        <v>1</v>
      </c>
      <c r="W9" s="68"/>
      <c r="X9" s="98">
        <v>209782.0</v>
      </c>
      <c r="Y9" s="96" t="s">
        <v>244</v>
      </c>
      <c r="Z9" s="96" t="s">
        <v>186</v>
      </c>
      <c r="AA9" s="96">
        <v>688.0</v>
      </c>
      <c r="AB9" s="104"/>
      <c r="AC9" s="104"/>
      <c r="AD9" s="105"/>
    </row>
    <row r="10" ht="14.25" customHeight="1">
      <c r="A10" s="95" t="s">
        <v>125</v>
      </c>
      <c r="B10" s="12">
        <v>650.0</v>
      </c>
      <c r="C10" s="106">
        <v>0.0</v>
      </c>
      <c r="D10" s="97">
        <f t="shared" si="9"/>
        <v>0</v>
      </c>
      <c r="E10" s="65"/>
      <c r="F10" s="98" t="s">
        <v>108</v>
      </c>
      <c r="G10" s="12"/>
      <c r="H10" s="96" t="s">
        <v>108</v>
      </c>
      <c r="I10" s="89" t="str">
        <f t="shared" si="1"/>
        <v/>
      </c>
      <c r="J10" s="65"/>
      <c r="K10" s="107" t="s">
        <v>126</v>
      </c>
      <c r="L10" s="189">
        <f>'DAILY STOCKS (W)'!U10</f>
        <v>8</v>
      </c>
      <c r="M10" s="108">
        <v>0.0</v>
      </c>
      <c r="N10" s="99">
        <v>0.0</v>
      </c>
      <c r="O10" s="100">
        <f t="shared" si="3"/>
        <v>0</v>
      </c>
      <c r="P10" s="100">
        <f t="shared" si="4"/>
        <v>0</v>
      </c>
      <c r="Q10" s="100">
        <f t="shared" si="5"/>
        <v>0</v>
      </c>
      <c r="R10" s="101">
        <f t="shared" si="6"/>
        <v>0</v>
      </c>
      <c r="S10" s="109"/>
      <c r="T10" s="100">
        <f t="shared" si="7"/>
        <v>8</v>
      </c>
      <c r="U10" s="102">
        <v>8.0</v>
      </c>
      <c r="V10" s="103">
        <f t="shared" si="8"/>
        <v>0</v>
      </c>
      <c r="W10" s="68"/>
      <c r="X10" s="98">
        <v>209783.0</v>
      </c>
      <c r="Y10" s="96" t="s">
        <v>245</v>
      </c>
      <c r="Z10" s="96" t="s">
        <v>172</v>
      </c>
      <c r="AA10" s="96">
        <v>963.0</v>
      </c>
      <c r="AB10" s="96">
        <v>50.0</v>
      </c>
      <c r="AC10" s="104"/>
      <c r="AD10" s="105"/>
    </row>
    <row r="11" ht="14.25" customHeight="1">
      <c r="A11" s="95" t="s">
        <v>128</v>
      </c>
      <c r="B11" s="12">
        <v>1200.0</v>
      </c>
      <c r="C11" s="106">
        <v>0.0</v>
      </c>
      <c r="D11" s="97">
        <f t="shared" si="9"/>
        <v>0</v>
      </c>
      <c r="E11" s="65"/>
      <c r="F11" s="98" t="s">
        <v>108</v>
      </c>
      <c r="G11" s="12"/>
      <c r="H11" s="96" t="s">
        <v>108</v>
      </c>
      <c r="I11" s="89" t="str">
        <f t="shared" si="1"/>
        <v/>
      </c>
      <c r="J11" s="65"/>
      <c r="K11" s="107" t="s">
        <v>129</v>
      </c>
      <c r="L11" s="189">
        <f>'DAILY STOCKS (W)'!U11</f>
        <v>16</v>
      </c>
      <c r="M11" s="108">
        <v>0.0</v>
      </c>
      <c r="N11" s="99">
        <v>0.0</v>
      </c>
      <c r="O11" s="100">
        <f t="shared" si="3"/>
        <v>0</v>
      </c>
      <c r="P11" s="100">
        <f t="shared" si="4"/>
        <v>2</v>
      </c>
      <c r="Q11" s="100">
        <f t="shared" si="5"/>
        <v>0</v>
      </c>
      <c r="R11" s="101">
        <f t="shared" si="6"/>
        <v>0</v>
      </c>
      <c r="S11" s="109"/>
      <c r="T11" s="100">
        <f t="shared" si="7"/>
        <v>14</v>
      </c>
      <c r="U11" s="102">
        <v>14.0</v>
      </c>
      <c r="V11" s="103">
        <f t="shared" si="8"/>
        <v>0</v>
      </c>
      <c r="W11" s="68"/>
      <c r="X11" s="98">
        <v>209784.0</v>
      </c>
      <c r="Y11" s="96" t="s">
        <v>246</v>
      </c>
      <c r="Z11" s="96" t="s">
        <v>181</v>
      </c>
      <c r="AA11" s="96">
        <v>963.0</v>
      </c>
      <c r="AB11" s="96">
        <v>50.0</v>
      </c>
      <c r="AC11" s="104"/>
      <c r="AD11" s="105"/>
    </row>
    <row r="12" ht="14.25" customHeight="1">
      <c r="A12" s="107" t="s">
        <v>131</v>
      </c>
      <c r="B12" s="16">
        <v>150.0</v>
      </c>
      <c r="C12" s="106">
        <v>0.0</v>
      </c>
      <c r="D12" s="97">
        <f t="shared" si="9"/>
        <v>0</v>
      </c>
      <c r="E12" s="65"/>
      <c r="F12" s="98" t="s">
        <v>108</v>
      </c>
      <c r="G12" s="12"/>
      <c r="H12" s="96" t="s">
        <v>108</v>
      </c>
      <c r="I12" s="89" t="str">
        <f t="shared" si="1"/>
        <v/>
      </c>
      <c r="J12" s="65"/>
      <c r="K12" s="95" t="s">
        <v>132</v>
      </c>
      <c r="L12" s="189">
        <f>'DAILY STOCKS (W)'!U12</f>
        <v>4</v>
      </c>
      <c r="M12" s="108">
        <v>0.0</v>
      </c>
      <c r="N12" s="99">
        <v>0.0</v>
      </c>
      <c r="O12" s="100">
        <f t="shared" si="3"/>
        <v>0</v>
      </c>
      <c r="P12" s="100">
        <f t="shared" si="4"/>
        <v>1</v>
      </c>
      <c r="Q12" s="100">
        <f t="shared" si="5"/>
        <v>0</v>
      </c>
      <c r="R12" s="101">
        <f t="shared" si="6"/>
        <v>0</v>
      </c>
      <c r="S12" s="109"/>
      <c r="T12" s="100">
        <f t="shared" si="7"/>
        <v>3</v>
      </c>
      <c r="U12" s="102">
        <v>3.0</v>
      </c>
      <c r="V12" s="103">
        <f t="shared" si="8"/>
        <v>0</v>
      </c>
      <c r="W12" s="68"/>
      <c r="X12" s="98">
        <v>209785.0</v>
      </c>
      <c r="Y12" s="96" t="s">
        <v>136</v>
      </c>
      <c r="Z12" s="96" t="s">
        <v>189</v>
      </c>
      <c r="AA12" s="104"/>
      <c r="AB12" s="104"/>
      <c r="AC12" s="96">
        <v>3039.0</v>
      </c>
      <c r="AD12" s="105"/>
    </row>
    <row r="13" ht="14.25" customHeight="1">
      <c r="A13" s="114" t="s">
        <v>134</v>
      </c>
      <c r="B13" s="111"/>
      <c r="C13" s="112"/>
      <c r="D13" s="113"/>
      <c r="E13" s="65"/>
      <c r="F13" s="98" t="s">
        <v>108</v>
      </c>
      <c r="G13" s="12"/>
      <c r="H13" s="96" t="s">
        <v>108</v>
      </c>
      <c r="I13" s="89" t="str">
        <f t="shared" si="1"/>
        <v/>
      </c>
      <c r="J13" s="65"/>
      <c r="K13" s="107" t="s">
        <v>135</v>
      </c>
      <c r="L13" s="189" t="str">
        <f>'DAILY STOCKS (W)'!U13</f>
        <v/>
      </c>
      <c r="M13" s="108">
        <v>0.0</v>
      </c>
      <c r="N13" s="99">
        <v>0.0</v>
      </c>
      <c r="O13" s="100">
        <f t="shared" si="3"/>
        <v>0</v>
      </c>
      <c r="P13" s="100">
        <f t="shared" si="4"/>
        <v>0</v>
      </c>
      <c r="Q13" s="100">
        <f t="shared" si="5"/>
        <v>0</v>
      </c>
      <c r="R13" s="101">
        <f t="shared" si="6"/>
        <v>0</v>
      </c>
      <c r="S13" s="109"/>
      <c r="T13" s="100">
        <f t="shared" si="7"/>
        <v>0</v>
      </c>
      <c r="U13" s="115"/>
      <c r="V13" s="103">
        <f t="shared" si="8"/>
        <v>0</v>
      </c>
      <c r="W13" s="68"/>
      <c r="X13" s="98"/>
      <c r="Y13" s="104"/>
      <c r="Z13" s="96" t="s">
        <v>156</v>
      </c>
      <c r="AA13" s="104"/>
      <c r="AB13" s="104"/>
      <c r="AC13" s="96">
        <v>2026.0</v>
      </c>
      <c r="AD13" s="105"/>
    </row>
    <row r="14" ht="14.25" customHeight="1">
      <c r="A14" s="95" t="s">
        <v>109</v>
      </c>
      <c r="B14" s="116">
        <f t="shared" ref="B14:B24" si="10">B26+B53</f>
        <v>1480</v>
      </c>
      <c r="C14" s="96">
        <v>0.0</v>
      </c>
      <c r="D14" s="97">
        <f t="shared" ref="D14:D24" si="11">C14*B14</f>
        <v>0</v>
      </c>
      <c r="E14" s="65"/>
      <c r="F14" s="98" t="s">
        <v>108</v>
      </c>
      <c r="G14" s="12"/>
      <c r="H14" s="96" t="s">
        <v>108</v>
      </c>
      <c r="I14" s="89" t="str">
        <f t="shared" si="1"/>
        <v/>
      </c>
      <c r="J14" s="65"/>
      <c r="K14" s="117" t="s">
        <v>138</v>
      </c>
      <c r="L14" s="222">
        <f>'DAILY STOCKS (W)'!U14</f>
        <v>5</v>
      </c>
      <c r="M14" s="119">
        <v>0.0</v>
      </c>
      <c r="N14" s="120">
        <v>0.0</v>
      </c>
      <c r="O14" s="121">
        <f t="shared" si="3"/>
        <v>0</v>
      </c>
      <c r="P14" s="121">
        <f t="shared" si="4"/>
        <v>4</v>
      </c>
      <c r="Q14" s="121">
        <f t="shared" si="5"/>
        <v>0</v>
      </c>
      <c r="R14" s="122">
        <f t="shared" si="6"/>
        <v>0</v>
      </c>
      <c r="S14" s="123"/>
      <c r="T14" s="121">
        <f t="shared" si="7"/>
        <v>1</v>
      </c>
      <c r="U14" s="124">
        <v>1.0</v>
      </c>
      <c r="V14" s="125">
        <f t="shared" si="8"/>
        <v>0</v>
      </c>
      <c r="W14" s="68"/>
      <c r="X14" s="98">
        <v>209787.0</v>
      </c>
      <c r="Y14" s="96" t="s">
        <v>247</v>
      </c>
      <c r="Z14" s="96" t="s">
        <v>229</v>
      </c>
      <c r="AA14" s="96">
        <v>280.0</v>
      </c>
      <c r="AB14" s="104"/>
      <c r="AC14" s="104"/>
      <c r="AD14" s="105"/>
    </row>
    <row r="15" ht="14.25" customHeight="1">
      <c r="A15" s="107" t="s">
        <v>112</v>
      </c>
      <c r="B15" s="116">
        <f t="shared" si="10"/>
        <v>1480</v>
      </c>
      <c r="C15" s="106">
        <v>0.0</v>
      </c>
      <c r="D15" s="97">
        <f t="shared" si="11"/>
        <v>0</v>
      </c>
      <c r="E15" s="65"/>
      <c r="F15" s="98" t="s">
        <v>108</v>
      </c>
      <c r="G15" s="12"/>
      <c r="H15" s="96" t="s">
        <v>108</v>
      </c>
      <c r="I15" s="89" t="str">
        <f t="shared" si="1"/>
        <v/>
      </c>
      <c r="J15" s="65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68"/>
      <c r="X15" s="98">
        <v>209788.0</v>
      </c>
      <c r="Y15" s="96" t="s">
        <v>248</v>
      </c>
      <c r="Z15" s="96" t="s">
        <v>181</v>
      </c>
      <c r="AA15" s="96">
        <v>963.0</v>
      </c>
      <c r="AB15" s="96">
        <v>50.0</v>
      </c>
      <c r="AC15" s="104"/>
      <c r="AD15" s="105"/>
    </row>
    <row r="16" ht="14.25" customHeight="1">
      <c r="A16" s="107" t="s">
        <v>115</v>
      </c>
      <c r="B16" s="116">
        <f t="shared" si="10"/>
        <v>2588</v>
      </c>
      <c r="C16" s="106">
        <v>0.0</v>
      </c>
      <c r="D16" s="97">
        <f t="shared" si="11"/>
        <v>0</v>
      </c>
      <c r="E16" s="65"/>
      <c r="F16" s="98" t="s">
        <v>108</v>
      </c>
      <c r="G16" s="12"/>
      <c r="H16" s="96" t="s">
        <v>108</v>
      </c>
      <c r="I16" s="89" t="str">
        <f t="shared" si="1"/>
        <v/>
      </c>
      <c r="J16" s="65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68"/>
      <c r="X16" s="98">
        <v>209789.0</v>
      </c>
      <c r="Y16" s="96" t="s">
        <v>249</v>
      </c>
      <c r="Z16" s="96" t="s">
        <v>172</v>
      </c>
      <c r="AA16" s="96">
        <v>938.0</v>
      </c>
      <c r="AB16" s="96">
        <v>75.0</v>
      </c>
      <c r="AC16" s="104"/>
      <c r="AD16" s="105"/>
    </row>
    <row r="17" ht="14.25" customHeight="1">
      <c r="A17" s="107" t="s">
        <v>119</v>
      </c>
      <c r="B17" s="116">
        <f t="shared" si="10"/>
        <v>2588</v>
      </c>
      <c r="C17" s="96">
        <v>0.0</v>
      </c>
      <c r="D17" s="97">
        <f t="shared" si="11"/>
        <v>0</v>
      </c>
      <c r="E17" s="65"/>
      <c r="F17" s="98" t="s">
        <v>108</v>
      </c>
      <c r="G17" s="12"/>
      <c r="H17" s="96" t="s">
        <v>108</v>
      </c>
      <c r="I17" s="89" t="str">
        <f t="shared" si="1"/>
        <v/>
      </c>
      <c r="J17" s="65"/>
      <c r="K17" s="72" t="s">
        <v>143</v>
      </c>
      <c r="L17" s="72" t="s">
        <v>85</v>
      </c>
      <c r="M17" s="128" t="s">
        <v>144</v>
      </c>
      <c r="N17" s="128" t="s">
        <v>88</v>
      </c>
      <c r="O17" s="128" t="s">
        <v>89</v>
      </c>
      <c r="P17" s="128" t="s">
        <v>145</v>
      </c>
      <c r="Q17" s="72" t="s">
        <v>92</v>
      </c>
      <c r="R17" s="129" t="s">
        <v>93</v>
      </c>
      <c r="S17" s="130" t="s">
        <v>94</v>
      </c>
      <c r="T17" s="127"/>
      <c r="U17" s="127"/>
      <c r="V17" s="127"/>
      <c r="W17" s="68"/>
      <c r="X17" s="98">
        <v>209790.0</v>
      </c>
      <c r="Y17" s="96" t="s">
        <v>250</v>
      </c>
      <c r="Z17" s="96" t="s">
        <v>251</v>
      </c>
      <c r="AA17" s="104"/>
      <c r="AB17" s="104"/>
      <c r="AC17" s="96">
        <v>17836.0</v>
      </c>
      <c r="AD17" s="105"/>
    </row>
    <row r="18" ht="14.25" customHeight="1">
      <c r="A18" s="107" t="s">
        <v>103</v>
      </c>
      <c r="B18" s="116">
        <f t="shared" si="10"/>
        <v>3013</v>
      </c>
      <c r="C18" s="96">
        <v>0.0</v>
      </c>
      <c r="D18" s="97">
        <f t="shared" si="11"/>
        <v>0</v>
      </c>
      <c r="E18" s="65"/>
      <c r="F18" s="98" t="s">
        <v>108</v>
      </c>
      <c r="G18" s="12"/>
      <c r="H18" s="96" t="s">
        <v>108</v>
      </c>
      <c r="I18" s="89" t="str">
        <f t="shared" si="1"/>
        <v/>
      </c>
      <c r="J18" s="65"/>
      <c r="K18" s="95" t="s">
        <v>109</v>
      </c>
      <c r="L18" s="101">
        <f>'DAILY STOCKS (W)'!R18</f>
        <v>49</v>
      </c>
      <c r="M18" s="132">
        <f t="shared" ref="M18:M28" si="12">N4</f>
        <v>0</v>
      </c>
      <c r="N18" s="132">
        <f t="shared" ref="N18:N22" si="13">P4</f>
        <v>5</v>
      </c>
      <c r="O18" s="132">
        <f t="shared" ref="O18:O28" si="14">countif($F$3:$F$25,K18)</f>
        <v>0</v>
      </c>
      <c r="P18" s="133"/>
      <c r="Q18" s="132">
        <f t="shared" ref="Q18:Q28" si="15">L18-M18+N18+O18+P18</f>
        <v>54</v>
      </c>
      <c r="R18" s="134">
        <v>54.0</v>
      </c>
      <c r="S18" s="135">
        <f t="shared" ref="S18:S28" si="16">R18-Q18</f>
        <v>0</v>
      </c>
      <c r="T18" s="127"/>
      <c r="U18" s="127"/>
      <c r="V18" s="127"/>
      <c r="W18" s="68"/>
      <c r="X18" s="98">
        <v>209791.0</v>
      </c>
      <c r="Y18" s="96" t="s">
        <v>252</v>
      </c>
      <c r="Z18" s="96" t="s">
        <v>181</v>
      </c>
      <c r="AA18" s="96">
        <v>963.0</v>
      </c>
      <c r="AB18" s="96">
        <v>50.0</v>
      </c>
      <c r="AC18" s="104"/>
      <c r="AD18" s="105"/>
    </row>
    <row r="19" ht="14.25" customHeight="1">
      <c r="A19" s="107" t="s">
        <v>104</v>
      </c>
      <c r="B19" s="116">
        <f t="shared" si="10"/>
        <v>3013</v>
      </c>
      <c r="C19" s="96">
        <v>0.0</v>
      </c>
      <c r="D19" s="97">
        <f t="shared" si="11"/>
        <v>0</v>
      </c>
      <c r="E19" s="65"/>
      <c r="F19" s="98" t="s">
        <v>108</v>
      </c>
      <c r="G19" s="12"/>
      <c r="H19" s="96" t="s">
        <v>108</v>
      </c>
      <c r="I19" s="89" t="str">
        <f t="shared" si="1"/>
        <v/>
      </c>
      <c r="J19" s="65"/>
      <c r="K19" s="107" t="s">
        <v>112</v>
      </c>
      <c r="L19" s="101">
        <f>'DAILY STOCKS (W)'!R19</f>
        <v>10</v>
      </c>
      <c r="M19" s="136">
        <f t="shared" si="12"/>
        <v>0</v>
      </c>
      <c r="N19" s="136">
        <f t="shared" si="13"/>
        <v>1</v>
      </c>
      <c r="O19" s="132">
        <f t="shared" si="14"/>
        <v>0</v>
      </c>
      <c r="P19" s="137"/>
      <c r="Q19" s="132">
        <f t="shared" si="15"/>
        <v>11</v>
      </c>
      <c r="R19" s="138">
        <v>11.0</v>
      </c>
      <c r="S19" s="139">
        <f t="shared" si="16"/>
        <v>0</v>
      </c>
      <c r="T19" s="65"/>
      <c r="U19" s="65"/>
      <c r="V19" s="140"/>
      <c r="W19" s="68"/>
      <c r="X19" s="98">
        <v>209793.0</v>
      </c>
      <c r="Y19" s="96" t="s">
        <v>253</v>
      </c>
      <c r="Z19" s="96" t="s">
        <v>172</v>
      </c>
      <c r="AA19" s="96">
        <v>963.0</v>
      </c>
      <c r="AB19" s="96">
        <v>50.0</v>
      </c>
      <c r="AC19" s="104"/>
      <c r="AD19" s="105"/>
    </row>
    <row r="20" ht="14.25" customHeight="1">
      <c r="A20" s="107" t="s">
        <v>126</v>
      </c>
      <c r="B20" s="116">
        <f t="shared" si="10"/>
        <v>4738</v>
      </c>
      <c r="C20" s="96">
        <v>0.0</v>
      </c>
      <c r="D20" s="97">
        <f t="shared" si="11"/>
        <v>0</v>
      </c>
      <c r="E20" s="65"/>
      <c r="F20" s="98" t="s">
        <v>108</v>
      </c>
      <c r="G20" s="12"/>
      <c r="H20" s="96" t="s">
        <v>108</v>
      </c>
      <c r="I20" s="89" t="str">
        <f t="shared" si="1"/>
        <v/>
      </c>
      <c r="J20" s="65"/>
      <c r="K20" s="107" t="s">
        <v>115</v>
      </c>
      <c r="L20" s="101">
        <f>'DAILY STOCKS (W)'!R20</f>
        <v>6</v>
      </c>
      <c r="M20" s="136">
        <f t="shared" si="12"/>
        <v>0</v>
      </c>
      <c r="N20" s="136">
        <f t="shared" si="13"/>
        <v>1</v>
      </c>
      <c r="O20" s="132">
        <f t="shared" si="14"/>
        <v>0</v>
      </c>
      <c r="P20" s="141"/>
      <c r="Q20" s="132">
        <f t="shared" si="15"/>
        <v>7</v>
      </c>
      <c r="R20" s="138">
        <v>7.0</v>
      </c>
      <c r="S20" s="139">
        <f t="shared" si="16"/>
        <v>0</v>
      </c>
      <c r="T20" s="65"/>
      <c r="U20" s="65"/>
      <c r="V20" s="140"/>
      <c r="W20" s="68"/>
      <c r="X20" s="98">
        <v>209794.0</v>
      </c>
      <c r="Y20" s="96" t="s">
        <v>254</v>
      </c>
      <c r="Z20" s="96" t="s">
        <v>156</v>
      </c>
      <c r="AA20" s="96">
        <v>1926.0</v>
      </c>
      <c r="AB20" s="96">
        <v>100.0</v>
      </c>
      <c r="AC20" s="104"/>
      <c r="AD20" s="105"/>
    </row>
    <row r="21" ht="14.25" customHeight="1">
      <c r="A21" s="107" t="s">
        <v>129</v>
      </c>
      <c r="B21" s="116">
        <f t="shared" si="10"/>
        <v>4738</v>
      </c>
      <c r="C21" s="106">
        <v>0.0</v>
      </c>
      <c r="D21" s="97">
        <f t="shared" si="11"/>
        <v>0</v>
      </c>
      <c r="E21" s="65"/>
      <c r="F21" s="98" t="s">
        <v>108</v>
      </c>
      <c r="G21" s="12"/>
      <c r="H21" s="96" t="s">
        <v>108</v>
      </c>
      <c r="I21" s="89" t="str">
        <f t="shared" si="1"/>
        <v/>
      </c>
      <c r="J21" s="65"/>
      <c r="K21" s="107" t="s">
        <v>119</v>
      </c>
      <c r="L21" s="101">
        <f>'DAILY STOCKS (W)'!R21</f>
        <v>26</v>
      </c>
      <c r="M21" s="136">
        <f t="shared" si="12"/>
        <v>0</v>
      </c>
      <c r="N21" s="136">
        <f t="shared" si="13"/>
        <v>0</v>
      </c>
      <c r="O21" s="132">
        <f t="shared" si="14"/>
        <v>0</v>
      </c>
      <c r="P21" s="137"/>
      <c r="Q21" s="132">
        <f t="shared" si="15"/>
        <v>26</v>
      </c>
      <c r="R21" s="138">
        <v>26.0</v>
      </c>
      <c r="S21" s="139">
        <f t="shared" si="16"/>
        <v>0</v>
      </c>
      <c r="T21" s="65"/>
      <c r="U21" s="65"/>
      <c r="V21" s="140"/>
      <c r="W21" s="68"/>
      <c r="X21" s="98">
        <v>209795.0</v>
      </c>
      <c r="Y21" s="96" t="s">
        <v>255</v>
      </c>
      <c r="Z21" s="96" t="s">
        <v>172</v>
      </c>
      <c r="AA21" s="96">
        <v>963.0</v>
      </c>
      <c r="AB21" s="96">
        <v>50.0</v>
      </c>
      <c r="AC21" s="104"/>
      <c r="AD21" s="105"/>
    </row>
    <row r="22" ht="14.25" customHeight="1">
      <c r="A22" s="95" t="s">
        <v>132</v>
      </c>
      <c r="B22" s="116">
        <f t="shared" si="10"/>
        <v>5665</v>
      </c>
      <c r="C22" s="106">
        <v>0.0</v>
      </c>
      <c r="D22" s="97">
        <f t="shared" si="11"/>
        <v>0</v>
      </c>
      <c r="E22" s="65"/>
      <c r="F22" s="98" t="s">
        <v>108</v>
      </c>
      <c r="G22" s="12"/>
      <c r="H22" s="96" t="s">
        <v>108</v>
      </c>
      <c r="I22" s="89" t="str">
        <f t="shared" si="1"/>
        <v/>
      </c>
      <c r="J22" s="65"/>
      <c r="K22" s="107" t="s">
        <v>103</v>
      </c>
      <c r="L22" s="101">
        <f>'DAILY STOCKS (W)'!R22</f>
        <v>157</v>
      </c>
      <c r="M22" s="136">
        <f t="shared" si="12"/>
        <v>5</v>
      </c>
      <c r="N22" s="136">
        <f t="shared" si="13"/>
        <v>12</v>
      </c>
      <c r="O22" s="132">
        <f t="shared" si="14"/>
        <v>0</v>
      </c>
      <c r="P22" s="141"/>
      <c r="Q22" s="132">
        <f t="shared" si="15"/>
        <v>164</v>
      </c>
      <c r="R22" s="138">
        <v>168.0</v>
      </c>
      <c r="S22" s="139">
        <f t="shared" si="16"/>
        <v>4</v>
      </c>
      <c r="T22" s="65"/>
      <c r="U22" s="65"/>
      <c r="V22" s="140"/>
      <c r="W22" s="68"/>
      <c r="X22" s="98">
        <v>209797.0</v>
      </c>
      <c r="Y22" s="96" t="s">
        <v>256</v>
      </c>
      <c r="Z22" s="96" t="s">
        <v>257</v>
      </c>
      <c r="AA22" s="96">
        <v>988.0</v>
      </c>
      <c r="AB22" s="96">
        <v>25.0</v>
      </c>
      <c r="AC22" s="104"/>
      <c r="AD22" s="105"/>
    </row>
    <row r="23" ht="14.25" customHeight="1">
      <c r="A23" s="107" t="s">
        <v>135</v>
      </c>
      <c r="B23" s="116">
        <f t="shared" si="10"/>
        <v>9459</v>
      </c>
      <c r="C23" s="106">
        <v>0.0</v>
      </c>
      <c r="D23" s="97">
        <f t="shared" si="11"/>
        <v>0</v>
      </c>
      <c r="E23" s="65"/>
      <c r="F23" s="98" t="s">
        <v>108</v>
      </c>
      <c r="G23" s="12"/>
      <c r="H23" s="96" t="s">
        <v>108</v>
      </c>
      <c r="I23" s="89" t="str">
        <f t="shared" si="1"/>
        <v/>
      </c>
      <c r="J23" s="65"/>
      <c r="K23" s="107" t="s">
        <v>104</v>
      </c>
      <c r="L23" s="101">
        <f>'DAILY STOCKS (W)'!R23</f>
        <v>122</v>
      </c>
      <c r="M23" s="136">
        <f t="shared" si="12"/>
        <v>2</v>
      </c>
      <c r="N23" s="136">
        <f>C31</f>
        <v>14</v>
      </c>
      <c r="O23" s="132">
        <f t="shared" si="14"/>
        <v>0</v>
      </c>
      <c r="P23" s="137"/>
      <c r="Q23" s="132">
        <f t="shared" si="15"/>
        <v>134</v>
      </c>
      <c r="R23" s="138">
        <v>135.0</v>
      </c>
      <c r="S23" s="139">
        <f t="shared" si="16"/>
        <v>1</v>
      </c>
      <c r="T23" s="65"/>
      <c r="U23" s="65"/>
      <c r="V23" s="140"/>
      <c r="W23" s="68"/>
      <c r="X23" s="98">
        <v>209798.0</v>
      </c>
      <c r="Y23" s="96" t="s">
        <v>258</v>
      </c>
      <c r="Z23" s="96" t="s">
        <v>259</v>
      </c>
      <c r="AA23" s="96">
        <v>280.0</v>
      </c>
      <c r="AB23" s="96"/>
      <c r="AC23" s="104"/>
      <c r="AD23" s="105"/>
    </row>
    <row r="24" ht="14.25" customHeight="1">
      <c r="A24" s="107" t="s">
        <v>138</v>
      </c>
      <c r="B24" s="116">
        <f t="shared" si="10"/>
        <v>9459</v>
      </c>
      <c r="C24" s="106">
        <v>0.0</v>
      </c>
      <c r="D24" s="97">
        <f t="shared" si="11"/>
        <v>0</v>
      </c>
      <c r="E24" s="65"/>
      <c r="F24" s="98" t="s">
        <v>108</v>
      </c>
      <c r="G24" s="12"/>
      <c r="H24" s="96" t="s">
        <v>108</v>
      </c>
      <c r="I24" s="89" t="str">
        <f t="shared" si="1"/>
        <v/>
      </c>
      <c r="J24" s="221">
        <v>54.0</v>
      </c>
      <c r="K24" s="107" t="s">
        <v>126</v>
      </c>
      <c r="L24" s="101">
        <f>'DAILY STOCKS (W)'!R24</f>
        <v>2</v>
      </c>
      <c r="M24" s="136">
        <f t="shared" si="12"/>
        <v>0</v>
      </c>
      <c r="N24" s="136">
        <f t="shared" ref="N24:N28" si="17">P10</f>
        <v>0</v>
      </c>
      <c r="O24" s="132">
        <f t="shared" si="14"/>
        <v>0</v>
      </c>
      <c r="P24" s="137"/>
      <c r="Q24" s="132">
        <f t="shared" si="15"/>
        <v>2</v>
      </c>
      <c r="R24" s="138">
        <v>2.0</v>
      </c>
      <c r="S24" s="139">
        <f t="shared" si="16"/>
        <v>0</v>
      </c>
      <c r="T24" s="65"/>
      <c r="U24" s="65"/>
      <c r="V24" s="140"/>
      <c r="W24" s="68"/>
      <c r="X24" s="177">
        <v>209799.0</v>
      </c>
      <c r="Y24" s="141" t="s">
        <v>260</v>
      </c>
      <c r="Z24" s="141" t="s">
        <v>257</v>
      </c>
      <c r="AA24" s="141">
        <v>988.0</v>
      </c>
      <c r="AB24" s="141">
        <v>25.0</v>
      </c>
      <c r="AC24" s="137"/>
      <c r="AD24" s="144"/>
    </row>
    <row r="25" ht="14.25" customHeight="1">
      <c r="A25" s="114" t="s">
        <v>88</v>
      </c>
      <c r="B25" s="111"/>
      <c r="C25" s="112"/>
      <c r="D25" s="113"/>
      <c r="E25" s="65"/>
      <c r="F25" s="145" t="s">
        <v>108</v>
      </c>
      <c r="G25" s="25"/>
      <c r="H25" s="146" t="s">
        <v>108</v>
      </c>
      <c r="I25" s="89" t="str">
        <f t="shared" si="1"/>
        <v/>
      </c>
      <c r="J25" s="65"/>
      <c r="K25" s="107" t="s">
        <v>129</v>
      </c>
      <c r="L25" s="101">
        <f>'DAILY STOCKS (W)'!R25</f>
        <v>59</v>
      </c>
      <c r="M25" s="136">
        <f t="shared" si="12"/>
        <v>0</v>
      </c>
      <c r="N25" s="136">
        <f t="shared" si="17"/>
        <v>2</v>
      </c>
      <c r="O25" s="132">
        <f t="shared" si="14"/>
        <v>0</v>
      </c>
      <c r="P25" s="137"/>
      <c r="Q25" s="132">
        <f t="shared" si="15"/>
        <v>61</v>
      </c>
      <c r="R25" s="138">
        <v>61.0</v>
      </c>
      <c r="S25" s="139">
        <f t="shared" si="16"/>
        <v>0</v>
      </c>
      <c r="T25" s="65"/>
      <c r="U25" s="65"/>
      <c r="V25" s="140"/>
      <c r="W25" s="68"/>
      <c r="X25" s="177">
        <v>209800.0</v>
      </c>
      <c r="Y25" s="148" t="s">
        <v>261</v>
      </c>
      <c r="Z25" s="148" t="s">
        <v>262</v>
      </c>
      <c r="AA25" s="148">
        <v>988.0</v>
      </c>
      <c r="AB25" s="148">
        <v>25.0</v>
      </c>
      <c r="AC25" s="147"/>
      <c r="AD25" s="149"/>
    </row>
    <row r="26" ht="14.25" customHeight="1">
      <c r="A26" s="95" t="s">
        <v>109</v>
      </c>
      <c r="B26" s="16">
        <v>280.0</v>
      </c>
      <c r="C26" s="96">
        <v>5.0</v>
      </c>
      <c r="D26" s="97">
        <f t="shared" ref="D26:D36" si="18">C26*B26</f>
        <v>1400</v>
      </c>
      <c r="E26" s="65"/>
      <c r="F26" s="72" t="s">
        <v>80</v>
      </c>
      <c r="G26" s="67"/>
      <c r="H26" s="64"/>
      <c r="I26" s="150">
        <f>sum(I3:I25)</f>
        <v>0</v>
      </c>
      <c r="J26" s="65"/>
      <c r="K26" s="95" t="s">
        <v>132</v>
      </c>
      <c r="L26" s="101">
        <f>'DAILY STOCKS (W)'!R26</f>
        <v>2</v>
      </c>
      <c r="M26" s="136">
        <f t="shared" si="12"/>
        <v>0</v>
      </c>
      <c r="N26" s="136">
        <f t="shared" si="17"/>
        <v>1</v>
      </c>
      <c r="O26" s="132">
        <f t="shared" si="14"/>
        <v>0</v>
      </c>
      <c r="P26" s="137"/>
      <c r="Q26" s="132">
        <f t="shared" si="15"/>
        <v>3</v>
      </c>
      <c r="R26" s="138">
        <v>3.0</v>
      </c>
      <c r="S26" s="139">
        <f t="shared" si="16"/>
        <v>0</v>
      </c>
      <c r="T26" s="65"/>
      <c r="U26" s="65"/>
      <c r="V26" s="140"/>
      <c r="W26" s="68"/>
      <c r="X26" s="152">
        <v>209961.0</v>
      </c>
      <c r="Y26" s="148" t="s">
        <v>263</v>
      </c>
      <c r="Z26" s="148" t="s">
        <v>262</v>
      </c>
      <c r="AA26" s="148">
        <v>988.0</v>
      </c>
      <c r="AB26" s="148">
        <v>25.0</v>
      </c>
      <c r="AC26" s="147"/>
      <c r="AD26" s="149"/>
    </row>
    <row r="27" ht="14.25" customHeight="1">
      <c r="A27" s="107" t="s">
        <v>112</v>
      </c>
      <c r="B27" s="16">
        <v>280.0</v>
      </c>
      <c r="C27" s="96">
        <v>1.0</v>
      </c>
      <c r="D27" s="97">
        <f t="shared" si="18"/>
        <v>280</v>
      </c>
      <c r="E27" s="65"/>
      <c r="F27" s="65"/>
      <c r="G27" s="65"/>
      <c r="H27" s="65"/>
      <c r="I27" s="65"/>
      <c r="J27" s="65"/>
      <c r="K27" s="107" t="s">
        <v>135</v>
      </c>
      <c r="L27" s="101">
        <f>'DAILY STOCKS (W)'!R27</f>
        <v>23</v>
      </c>
      <c r="M27" s="136">
        <f t="shared" si="12"/>
        <v>0</v>
      </c>
      <c r="N27" s="136">
        <f t="shared" si="17"/>
        <v>0</v>
      </c>
      <c r="O27" s="132">
        <f t="shared" si="14"/>
        <v>3</v>
      </c>
      <c r="P27" s="137"/>
      <c r="Q27" s="132">
        <f t="shared" si="15"/>
        <v>26</v>
      </c>
      <c r="R27" s="138">
        <v>26.0</v>
      </c>
      <c r="S27" s="139">
        <f t="shared" si="16"/>
        <v>0</v>
      </c>
      <c r="T27" s="65"/>
      <c r="U27" s="65"/>
      <c r="V27" s="140"/>
      <c r="W27" s="68"/>
      <c r="X27" s="152">
        <v>209962.0</v>
      </c>
      <c r="Y27" s="148" t="s">
        <v>264</v>
      </c>
      <c r="Z27" s="148" t="s">
        <v>265</v>
      </c>
      <c r="AA27" s="148">
        <v>938.0</v>
      </c>
      <c r="AB27" s="148">
        <v>100.0</v>
      </c>
      <c r="AC27" s="147"/>
      <c r="AD27" s="149"/>
    </row>
    <row r="28" ht="14.25" customHeight="1">
      <c r="A28" s="107" t="s">
        <v>115</v>
      </c>
      <c r="B28" s="16">
        <v>688.0</v>
      </c>
      <c r="C28" s="96">
        <v>1.0</v>
      </c>
      <c r="D28" s="97">
        <f t="shared" si="18"/>
        <v>688</v>
      </c>
      <c r="E28" s="65"/>
      <c r="F28" s="65"/>
      <c r="G28" s="65"/>
      <c r="H28" s="65"/>
      <c r="I28" s="65"/>
      <c r="J28" s="65"/>
      <c r="K28" s="117" t="s">
        <v>138</v>
      </c>
      <c r="L28" s="122">
        <f>'DAILY STOCKS (W)'!R28</f>
        <v>16</v>
      </c>
      <c r="M28" s="154">
        <f t="shared" si="12"/>
        <v>0</v>
      </c>
      <c r="N28" s="154">
        <f t="shared" si="17"/>
        <v>4</v>
      </c>
      <c r="O28" s="155">
        <f t="shared" si="14"/>
        <v>0</v>
      </c>
      <c r="P28" s="223"/>
      <c r="Q28" s="155">
        <f t="shared" si="15"/>
        <v>20</v>
      </c>
      <c r="R28" s="157">
        <v>20.0</v>
      </c>
      <c r="S28" s="158">
        <f t="shared" si="16"/>
        <v>0</v>
      </c>
      <c r="T28" s="65"/>
      <c r="U28" s="65"/>
      <c r="V28" s="140"/>
      <c r="W28" s="68"/>
      <c r="X28" s="152">
        <v>209963.0</v>
      </c>
      <c r="Y28" s="148" t="s">
        <v>266</v>
      </c>
      <c r="Z28" s="148" t="s">
        <v>257</v>
      </c>
      <c r="AA28" s="148">
        <v>988.0</v>
      </c>
      <c r="AB28" s="148">
        <v>25.0</v>
      </c>
      <c r="AC28" s="147"/>
      <c r="AD28" s="149"/>
    </row>
    <row r="29" ht="14.25" customHeight="1">
      <c r="A29" s="107" t="s">
        <v>119</v>
      </c>
      <c r="B29" s="16">
        <v>688.0</v>
      </c>
      <c r="C29" s="96">
        <v>0.0</v>
      </c>
      <c r="D29" s="97">
        <f t="shared" si="18"/>
        <v>0</v>
      </c>
      <c r="E29" s="65"/>
      <c r="F29" s="65"/>
      <c r="G29" s="65"/>
      <c r="H29" s="65"/>
      <c r="I29" s="65"/>
      <c r="J29" s="65"/>
      <c r="K29" s="127"/>
      <c r="L29" s="127"/>
      <c r="M29" s="127"/>
      <c r="N29" s="127"/>
      <c r="O29" s="127"/>
      <c r="P29" s="127"/>
      <c r="Q29" s="65"/>
      <c r="R29" s="65"/>
      <c r="S29" s="65"/>
      <c r="T29" s="65"/>
      <c r="U29" s="65"/>
      <c r="V29" s="140"/>
      <c r="W29" s="68"/>
      <c r="X29" s="152">
        <v>209964.0</v>
      </c>
      <c r="Y29" s="148" t="s">
        <v>267</v>
      </c>
      <c r="Z29" s="148" t="s">
        <v>268</v>
      </c>
      <c r="AA29" s="148">
        <v>1789.0</v>
      </c>
      <c r="AB29" s="148">
        <v>176.0</v>
      </c>
      <c r="AC29" s="147"/>
      <c r="AD29" s="149"/>
    </row>
    <row r="30" ht="14.25" customHeight="1">
      <c r="A30" s="107" t="s">
        <v>103</v>
      </c>
      <c r="B30" s="16">
        <v>1013.0</v>
      </c>
      <c r="C30" s="96">
        <v>12.0</v>
      </c>
      <c r="D30" s="97">
        <f t="shared" si="18"/>
        <v>12156</v>
      </c>
      <c r="E30" s="65"/>
      <c r="F30" s="65"/>
      <c r="G30" s="65"/>
      <c r="H30" s="65"/>
      <c r="I30" s="65"/>
      <c r="J30" s="65"/>
      <c r="K30" s="127"/>
      <c r="L30" s="127"/>
      <c r="M30" s="127"/>
      <c r="N30" s="127"/>
      <c r="O30" s="127"/>
      <c r="P30" s="127"/>
      <c r="Q30" s="65"/>
      <c r="R30" s="65"/>
      <c r="S30" s="65"/>
      <c r="T30" s="65"/>
      <c r="U30" s="65"/>
      <c r="V30" s="140"/>
      <c r="W30" s="68"/>
      <c r="X30" s="152">
        <v>209965.0</v>
      </c>
      <c r="Y30" s="148" t="s">
        <v>269</v>
      </c>
      <c r="Z30" s="148" t="s">
        <v>262</v>
      </c>
      <c r="AA30" s="148">
        <v>988.0</v>
      </c>
      <c r="AB30" s="148">
        <v>25.0</v>
      </c>
      <c r="AC30" s="147"/>
      <c r="AD30" s="149"/>
    </row>
    <row r="31" ht="14.25" customHeight="1">
      <c r="A31" s="107" t="s">
        <v>104</v>
      </c>
      <c r="B31" s="16">
        <v>1013.0</v>
      </c>
      <c r="C31" s="96">
        <v>14.0</v>
      </c>
      <c r="D31" s="97">
        <f t="shared" si="18"/>
        <v>14182</v>
      </c>
      <c r="E31" s="65"/>
      <c r="F31" s="65"/>
      <c r="G31" s="65"/>
      <c r="H31" s="65"/>
      <c r="I31" s="65"/>
      <c r="J31" s="65"/>
      <c r="K31" s="75" t="s">
        <v>163</v>
      </c>
      <c r="L31" s="76" t="s">
        <v>85</v>
      </c>
      <c r="M31" s="77" t="s">
        <v>164</v>
      </c>
      <c r="N31" s="159" t="s">
        <v>79</v>
      </c>
      <c r="O31" s="78" t="s">
        <v>165</v>
      </c>
      <c r="P31" s="79" t="s">
        <v>92</v>
      </c>
      <c r="Q31" s="79" t="s">
        <v>93</v>
      </c>
      <c r="R31" s="160" t="s">
        <v>94</v>
      </c>
      <c r="S31" s="65"/>
      <c r="T31" s="65"/>
      <c r="U31" s="65"/>
      <c r="V31" s="140"/>
      <c r="W31" s="68"/>
      <c r="X31" s="152">
        <v>209966.0</v>
      </c>
      <c r="Y31" s="148" t="s">
        <v>270</v>
      </c>
      <c r="Z31" s="148" t="s">
        <v>262</v>
      </c>
      <c r="AA31" s="148">
        <v>988.0</v>
      </c>
      <c r="AB31" s="148">
        <v>25.0</v>
      </c>
      <c r="AC31" s="147"/>
      <c r="AD31" s="149"/>
    </row>
    <row r="32" ht="14.25" customHeight="1">
      <c r="A32" s="107" t="s">
        <v>126</v>
      </c>
      <c r="B32" s="16">
        <v>1038.0</v>
      </c>
      <c r="C32" s="106">
        <v>0.0</v>
      </c>
      <c r="D32" s="97">
        <f t="shared" si="18"/>
        <v>0</v>
      </c>
      <c r="E32" s="65"/>
      <c r="F32" s="65"/>
      <c r="G32" s="65"/>
      <c r="H32" s="65"/>
      <c r="I32" s="65"/>
      <c r="J32" s="65"/>
      <c r="K32" s="161" t="s">
        <v>102</v>
      </c>
      <c r="L32" s="162"/>
      <c r="M32" s="163"/>
      <c r="N32" s="164"/>
      <c r="O32" s="163"/>
      <c r="P32" s="163"/>
      <c r="Q32" s="163"/>
      <c r="R32" s="165"/>
      <c r="S32" s="166"/>
      <c r="T32" s="166"/>
      <c r="U32" s="166"/>
      <c r="V32" s="167"/>
      <c r="W32" s="68"/>
      <c r="X32" s="152">
        <v>209967.0</v>
      </c>
      <c r="Y32" s="148" t="s">
        <v>271</v>
      </c>
      <c r="Z32" s="148" t="s">
        <v>259</v>
      </c>
      <c r="AA32" s="148">
        <v>280.0</v>
      </c>
      <c r="AB32" s="147"/>
      <c r="AC32" s="147"/>
      <c r="AD32" s="149"/>
    </row>
    <row r="33" ht="14.25" customHeight="1">
      <c r="A33" s="107" t="s">
        <v>129</v>
      </c>
      <c r="B33" s="16">
        <v>1038.0</v>
      </c>
      <c r="C33" s="96">
        <v>2.0</v>
      </c>
      <c r="D33" s="97">
        <f t="shared" si="18"/>
        <v>2076</v>
      </c>
      <c r="E33" s="65"/>
      <c r="F33" s="65"/>
      <c r="G33" s="65"/>
      <c r="H33" s="65"/>
      <c r="I33" s="65"/>
      <c r="J33" s="65"/>
      <c r="K33" s="95" t="s">
        <v>107</v>
      </c>
      <c r="L33" s="189">
        <f>'DAILY STOCKS (W)'!Q33</f>
        <v>0</v>
      </c>
      <c r="M33" s="108">
        <v>0.0</v>
      </c>
      <c r="N33" s="136">
        <f t="shared" ref="N33:N34" si="19">C4</f>
        <v>0</v>
      </c>
      <c r="O33" s="168"/>
      <c r="P33" s="169">
        <f t="shared" ref="P33:P34" si="20">L33+M33-N33-O33</f>
        <v>0</v>
      </c>
      <c r="Q33" s="168"/>
      <c r="R33" s="171">
        <f t="shared" ref="R33:R34" si="21">Q33-P33</f>
        <v>0</v>
      </c>
      <c r="S33" s="166"/>
      <c r="T33" s="166"/>
      <c r="U33" s="166"/>
      <c r="V33" s="167"/>
      <c r="W33" s="68"/>
      <c r="X33" s="152">
        <v>207881.0</v>
      </c>
      <c r="Y33" s="148" t="s">
        <v>272</v>
      </c>
      <c r="Z33" s="148" t="s">
        <v>259</v>
      </c>
      <c r="AA33" s="148">
        <v>280.0</v>
      </c>
      <c r="AB33" s="148"/>
      <c r="AC33" s="147"/>
      <c r="AD33" s="149"/>
    </row>
    <row r="34" ht="15.75" customHeight="1">
      <c r="A34" s="95" t="s">
        <v>132</v>
      </c>
      <c r="B34" s="16">
        <v>1965.0</v>
      </c>
      <c r="C34" s="96">
        <v>1.0</v>
      </c>
      <c r="D34" s="97">
        <f t="shared" si="18"/>
        <v>1965</v>
      </c>
      <c r="E34" s="65"/>
      <c r="F34" s="65"/>
      <c r="G34" s="65"/>
      <c r="H34" s="65"/>
      <c r="I34" s="65"/>
      <c r="J34" s="65"/>
      <c r="K34" s="95" t="s">
        <v>111</v>
      </c>
      <c r="L34" s="189">
        <f>'DAILY STOCKS (W)'!Q34</f>
        <v>12</v>
      </c>
      <c r="M34" s="108">
        <v>0.0</v>
      </c>
      <c r="N34" s="136">
        <f t="shared" si="19"/>
        <v>0</v>
      </c>
      <c r="O34" s="168"/>
      <c r="P34" s="169">
        <f t="shared" si="20"/>
        <v>12</v>
      </c>
      <c r="Q34" s="170">
        <v>12.0</v>
      </c>
      <c r="R34" s="171">
        <f t="shared" si="21"/>
        <v>0</v>
      </c>
      <c r="S34" s="166"/>
      <c r="T34" s="166"/>
      <c r="U34" s="172"/>
      <c r="V34" s="167"/>
      <c r="W34" s="68"/>
      <c r="X34" s="152">
        <v>209968.0</v>
      </c>
      <c r="Y34" s="148" t="s">
        <v>272</v>
      </c>
      <c r="Z34" s="148" t="s">
        <v>262</v>
      </c>
      <c r="AA34" s="148">
        <v>963.0</v>
      </c>
      <c r="AB34" s="148">
        <v>50.0</v>
      </c>
      <c r="AC34" s="148"/>
      <c r="AD34" s="149"/>
    </row>
    <row r="35" ht="15.75" customHeight="1">
      <c r="A35" s="107" t="s">
        <v>135</v>
      </c>
      <c r="B35" s="16">
        <v>4459.0</v>
      </c>
      <c r="C35" s="106">
        <v>0.0</v>
      </c>
      <c r="D35" s="97">
        <f t="shared" si="18"/>
        <v>0</v>
      </c>
      <c r="E35" s="65"/>
      <c r="F35" s="65"/>
      <c r="G35" s="65"/>
      <c r="H35" s="65"/>
      <c r="I35" s="65"/>
      <c r="J35" s="65"/>
      <c r="K35" s="110" t="s">
        <v>114</v>
      </c>
      <c r="L35" s="173"/>
      <c r="M35" s="112"/>
      <c r="N35" s="174"/>
      <c r="O35" s="112"/>
      <c r="P35" s="112"/>
      <c r="Q35" s="112"/>
      <c r="R35" s="175"/>
      <c r="S35" s="166"/>
      <c r="T35" s="166"/>
      <c r="U35" s="166"/>
      <c r="V35" s="167"/>
      <c r="W35" s="68"/>
      <c r="X35" s="152">
        <v>209969.0</v>
      </c>
      <c r="Y35" s="148" t="s">
        <v>273</v>
      </c>
      <c r="Z35" s="148" t="s">
        <v>265</v>
      </c>
      <c r="AA35" s="147"/>
      <c r="AB35" s="148">
        <v>100.0</v>
      </c>
      <c r="AC35" s="148">
        <v>938.0</v>
      </c>
      <c r="AD35" s="149"/>
    </row>
    <row r="36" ht="15.75" customHeight="1">
      <c r="A36" s="107" t="s">
        <v>138</v>
      </c>
      <c r="B36" s="16">
        <v>4459.0</v>
      </c>
      <c r="C36" s="96">
        <v>4.0</v>
      </c>
      <c r="D36" s="97">
        <f t="shared" si="18"/>
        <v>17836</v>
      </c>
      <c r="E36" s="65"/>
      <c r="F36" s="65"/>
      <c r="G36" s="65"/>
      <c r="H36" s="65"/>
      <c r="I36" s="65"/>
      <c r="J36" s="65"/>
      <c r="K36" s="95" t="s">
        <v>118</v>
      </c>
      <c r="L36" s="189">
        <f>'DAILY STOCKS (W)'!Q36</f>
        <v>18</v>
      </c>
      <c r="M36" s="108">
        <v>0.0</v>
      </c>
      <c r="N36" s="136">
        <f t="shared" ref="N36:N41" si="22">C7</f>
        <v>0</v>
      </c>
      <c r="O36" s="168"/>
      <c r="P36" s="169">
        <f t="shared" ref="P36:P41" si="23">L36+M36-N36-O36</f>
        <v>18</v>
      </c>
      <c r="Q36" s="170">
        <v>18.0</v>
      </c>
      <c r="R36" s="171">
        <f t="shared" ref="R36:R41" si="24">Q36-P36</f>
        <v>0</v>
      </c>
      <c r="S36" s="166"/>
      <c r="T36" s="166"/>
      <c r="U36" s="166"/>
      <c r="V36" s="167"/>
      <c r="W36" s="68"/>
      <c r="X36" s="151"/>
      <c r="Y36" s="147"/>
      <c r="Z36" s="147"/>
      <c r="AA36" s="147"/>
      <c r="AB36" s="147"/>
      <c r="AC36" s="147"/>
      <c r="AD36" s="149"/>
    </row>
    <row r="37" ht="15.75" customHeight="1">
      <c r="A37" s="114" t="s">
        <v>173</v>
      </c>
      <c r="B37" s="111"/>
      <c r="C37" s="112"/>
      <c r="D37" s="113"/>
      <c r="E37" s="65"/>
      <c r="F37" s="65"/>
      <c r="G37" s="65"/>
      <c r="H37" s="65"/>
      <c r="I37" s="65"/>
      <c r="J37" s="65"/>
      <c r="K37" s="95" t="s">
        <v>121</v>
      </c>
      <c r="L37" s="189">
        <f>'DAILY STOCKS (W)'!Q37</f>
        <v>3</v>
      </c>
      <c r="M37" s="108">
        <v>0.0</v>
      </c>
      <c r="N37" s="136">
        <f t="shared" si="22"/>
        <v>0</v>
      </c>
      <c r="O37" s="168"/>
      <c r="P37" s="169">
        <f t="shared" si="23"/>
        <v>3</v>
      </c>
      <c r="Q37" s="170">
        <v>3.0</v>
      </c>
      <c r="R37" s="171">
        <f t="shared" si="24"/>
        <v>0</v>
      </c>
      <c r="S37" s="166"/>
      <c r="T37" s="166"/>
      <c r="U37" s="166"/>
      <c r="V37" s="167"/>
      <c r="W37" s="68"/>
      <c r="X37" s="151"/>
      <c r="Y37" s="147"/>
      <c r="Z37" s="147"/>
      <c r="AA37" s="147"/>
      <c r="AB37" s="147"/>
      <c r="AC37" s="147"/>
      <c r="AD37" s="149"/>
    </row>
    <row r="38" ht="15.75" customHeight="1">
      <c r="A38" s="95" t="s">
        <v>109</v>
      </c>
      <c r="B38" s="176">
        <f t="shared" ref="B38:B48" si="25">B26</f>
        <v>280</v>
      </c>
      <c r="C38" s="106">
        <v>0.0</v>
      </c>
      <c r="D38" s="97">
        <f t="shared" ref="D38:D48" si="26">C38*B38</f>
        <v>0</v>
      </c>
      <c r="E38" s="65"/>
      <c r="F38" s="65"/>
      <c r="G38" s="65"/>
      <c r="H38" s="65"/>
      <c r="I38" s="65"/>
      <c r="J38" s="65"/>
      <c r="K38" s="95" t="s">
        <v>123</v>
      </c>
      <c r="L38" s="189">
        <f>'DAILY STOCKS (W)'!Q38</f>
        <v>85</v>
      </c>
      <c r="M38" s="108">
        <v>0.0</v>
      </c>
      <c r="N38" s="136">
        <f t="shared" si="22"/>
        <v>0</v>
      </c>
      <c r="O38" s="168"/>
      <c r="P38" s="169">
        <f t="shared" si="23"/>
        <v>85</v>
      </c>
      <c r="Q38" s="170">
        <v>85.0</v>
      </c>
      <c r="R38" s="171">
        <f t="shared" si="24"/>
        <v>0</v>
      </c>
      <c r="S38" s="166"/>
      <c r="T38" s="166"/>
      <c r="U38" s="166"/>
      <c r="V38" s="167"/>
      <c r="W38" s="68"/>
      <c r="X38" s="151"/>
      <c r="Y38" s="147"/>
      <c r="Z38" s="147"/>
      <c r="AA38" s="147"/>
      <c r="AB38" s="147"/>
      <c r="AC38" s="147"/>
      <c r="AD38" s="149"/>
    </row>
    <row r="39" ht="15.75" customHeight="1">
      <c r="A39" s="107" t="s">
        <v>112</v>
      </c>
      <c r="B39" s="176">
        <f t="shared" si="25"/>
        <v>280</v>
      </c>
      <c r="C39" s="96">
        <v>0.0</v>
      </c>
      <c r="D39" s="97">
        <f t="shared" si="26"/>
        <v>0</v>
      </c>
      <c r="E39" s="65"/>
      <c r="F39" s="65"/>
      <c r="G39" s="65"/>
      <c r="H39" s="65"/>
      <c r="I39" s="65"/>
      <c r="J39" s="65"/>
      <c r="K39" s="95" t="s">
        <v>125</v>
      </c>
      <c r="L39" s="189">
        <f>'DAILY STOCKS (W)'!Q39</f>
        <v>0</v>
      </c>
      <c r="M39" s="108">
        <v>0.0</v>
      </c>
      <c r="N39" s="136">
        <f t="shared" si="22"/>
        <v>0</v>
      </c>
      <c r="O39" s="168"/>
      <c r="P39" s="169">
        <f t="shared" si="23"/>
        <v>0</v>
      </c>
      <c r="Q39" s="168"/>
      <c r="R39" s="171">
        <f t="shared" si="24"/>
        <v>0</v>
      </c>
      <c r="S39" s="166"/>
      <c r="T39" s="166"/>
      <c r="U39" s="166"/>
      <c r="V39" s="167"/>
      <c r="W39" s="68"/>
      <c r="X39" s="151"/>
      <c r="Y39" s="147"/>
      <c r="Z39" s="147"/>
      <c r="AA39" s="147"/>
      <c r="AB39" s="147"/>
      <c r="AC39" s="147"/>
      <c r="AD39" s="149"/>
    </row>
    <row r="40" ht="15.75" customHeight="1">
      <c r="A40" s="107" t="s">
        <v>115</v>
      </c>
      <c r="B40" s="176">
        <f t="shared" si="25"/>
        <v>688</v>
      </c>
      <c r="C40" s="96">
        <v>0.0</v>
      </c>
      <c r="D40" s="97">
        <f t="shared" si="26"/>
        <v>0</v>
      </c>
      <c r="E40" s="65"/>
      <c r="F40" s="65"/>
      <c r="G40" s="65"/>
      <c r="H40" s="65"/>
      <c r="I40" s="65"/>
      <c r="J40" s="65"/>
      <c r="K40" s="95" t="s">
        <v>128</v>
      </c>
      <c r="L40" s="189">
        <f>'DAILY STOCKS (W)'!Q40</f>
        <v>0</v>
      </c>
      <c r="M40" s="108">
        <v>0.0</v>
      </c>
      <c r="N40" s="136">
        <f t="shared" si="22"/>
        <v>0</v>
      </c>
      <c r="O40" s="168"/>
      <c r="P40" s="169">
        <f t="shared" si="23"/>
        <v>0</v>
      </c>
      <c r="Q40" s="168"/>
      <c r="R40" s="171">
        <f t="shared" si="24"/>
        <v>0</v>
      </c>
      <c r="S40" s="166"/>
      <c r="T40" s="166"/>
      <c r="U40" s="166"/>
      <c r="V40" s="167"/>
      <c r="W40" s="68"/>
      <c r="X40" s="151"/>
      <c r="Y40" s="147"/>
      <c r="Z40" s="147"/>
      <c r="AA40" s="147"/>
      <c r="AB40" s="147"/>
      <c r="AC40" s="147"/>
      <c r="AD40" s="149"/>
    </row>
    <row r="41" ht="15.75" customHeight="1">
      <c r="A41" s="107" t="s">
        <v>119</v>
      </c>
      <c r="B41" s="176">
        <f t="shared" si="25"/>
        <v>688</v>
      </c>
      <c r="C41" s="96">
        <v>0.0</v>
      </c>
      <c r="D41" s="97">
        <f t="shared" si="26"/>
        <v>0</v>
      </c>
      <c r="E41" s="65"/>
      <c r="F41" s="65"/>
      <c r="G41" s="65"/>
      <c r="H41" s="65"/>
      <c r="I41" s="65"/>
      <c r="J41" s="65"/>
      <c r="K41" s="117" t="s">
        <v>131</v>
      </c>
      <c r="L41" s="222">
        <f>'DAILY STOCKS (W)'!Q41</f>
        <v>3</v>
      </c>
      <c r="M41" s="119">
        <v>0.0</v>
      </c>
      <c r="N41" s="154">
        <f t="shared" si="22"/>
        <v>0</v>
      </c>
      <c r="O41" s="178"/>
      <c r="P41" s="179">
        <f t="shared" si="23"/>
        <v>3</v>
      </c>
      <c r="Q41" s="180">
        <v>3.0</v>
      </c>
      <c r="R41" s="181">
        <f t="shared" si="24"/>
        <v>0</v>
      </c>
      <c r="S41" s="166"/>
      <c r="T41" s="166"/>
      <c r="U41" s="166"/>
      <c r="V41" s="167"/>
      <c r="W41" s="68"/>
      <c r="X41" s="151"/>
      <c r="Y41" s="147"/>
      <c r="Z41" s="147"/>
      <c r="AA41" s="147"/>
      <c r="AB41" s="147"/>
      <c r="AC41" s="147"/>
      <c r="AD41" s="149"/>
    </row>
    <row r="42" ht="15.75" customHeight="1">
      <c r="A42" s="107" t="s">
        <v>103</v>
      </c>
      <c r="B42" s="176">
        <f t="shared" si="25"/>
        <v>1013</v>
      </c>
      <c r="C42" s="96">
        <v>0.0</v>
      </c>
      <c r="D42" s="97">
        <f t="shared" si="26"/>
        <v>0</v>
      </c>
      <c r="E42" s="65"/>
      <c r="F42" s="65"/>
      <c r="G42" s="65"/>
      <c r="H42" s="65"/>
      <c r="I42" s="65"/>
      <c r="J42" s="65"/>
      <c r="Q42" s="166"/>
      <c r="R42" s="166"/>
      <c r="S42" s="166"/>
      <c r="T42" s="166"/>
      <c r="U42" s="166"/>
      <c r="V42" s="167"/>
      <c r="W42" s="68"/>
      <c r="X42" s="151"/>
      <c r="Y42" s="147"/>
      <c r="Z42" s="147"/>
      <c r="AA42" s="147"/>
      <c r="AB42" s="147"/>
      <c r="AC42" s="147"/>
      <c r="AD42" s="149"/>
    </row>
    <row r="43" ht="15.75" customHeight="1">
      <c r="A43" s="107" t="s">
        <v>104</v>
      </c>
      <c r="B43" s="176">
        <f t="shared" si="25"/>
        <v>1013</v>
      </c>
      <c r="C43" s="96">
        <v>0.0</v>
      </c>
      <c r="D43" s="97">
        <f t="shared" si="26"/>
        <v>0</v>
      </c>
      <c r="E43" s="65"/>
      <c r="F43" s="65"/>
      <c r="G43" s="65"/>
      <c r="H43" s="65"/>
      <c r="I43" s="65"/>
      <c r="J43" s="65"/>
      <c r="Q43" s="166"/>
      <c r="R43" s="166"/>
      <c r="S43" s="166"/>
      <c r="T43" s="166"/>
      <c r="U43" s="166"/>
      <c r="V43" s="167"/>
      <c r="W43" s="68"/>
      <c r="X43" s="151"/>
      <c r="Y43" s="147"/>
      <c r="Z43" s="147"/>
      <c r="AA43" s="147"/>
      <c r="AB43" s="147"/>
      <c r="AC43" s="147"/>
      <c r="AD43" s="149"/>
    </row>
    <row r="44" ht="15.75" customHeight="1">
      <c r="A44" s="107" t="s">
        <v>126</v>
      </c>
      <c r="B44" s="176">
        <f t="shared" si="25"/>
        <v>1038</v>
      </c>
      <c r="C44" s="106">
        <v>0.0</v>
      </c>
      <c r="D44" s="97">
        <f t="shared" si="26"/>
        <v>0</v>
      </c>
      <c r="E44" s="65"/>
      <c r="F44" s="65"/>
      <c r="G44" s="65"/>
      <c r="H44" s="65"/>
      <c r="I44" s="65"/>
      <c r="J44" s="65"/>
      <c r="K44" s="128" t="s">
        <v>182</v>
      </c>
      <c r="L44" s="72" t="s">
        <v>85</v>
      </c>
      <c r="M44" s="72" t="s">
        <v>92</v>
      </c>
      <c r="N44" s="130" t="s">
        <v>94</v>
      </c>
      <c r="O44" s="224"/>
      <c r="Q44" s="166"/>
      <c r="R44" s="166"/>
      <c r="S44" s="183"/>
      <c r="T44" s="183"/>
      <c r="U44" s="183"/>
      <c r="V44" s="184"/>
      <c r="W44" s="68"/>
      <c r="X44" s="151"/>
      <c r="Y44" s="147"/>
      <c r="Z44" s="147"/>
      <c r="AA44" s="147"/>
      <c r="AB44" s="147"/>
      <c r="AC44" s="147"/>
      <c r="AD44" s="149"/>
    </row>
    <row r="45" ht="15.75" customHeight="1">
      <c r="A45" s="107" t="s">
        <v>129</v>
      </c>
      <c r="B45" s="176">
        <f t="shared" si="25"/>
        <v>1038</v>
      </c>
      <c r="C45" s="106">
        <v>0.0</v>
      </c>
      <c r="D45" s="97">
        <f t="shared" si="26"/>
        <v>0</v>
      </c>
      <c r="E45" s="65"/>
      <c r="F45" s="65"/>
      <c r="G45" s="65"/>
      <c r="H45" s="65"/>
      <c r="I45" s="65"/>
      <c r="J45" s="65"/>
      <c r="K45" s="203" t="s">
        <v>109</v>
      </c>
      <c r="L45" s="101">
        <f t="shared" ref="L45:L55" si="27">L4+L18</f>
        <v>67</v>
      </c>
      <c r="M45" s="132">
        <f t="shared" ref="M45:M55" si="28">T4+Q18</f>
        <v>67</v>
      </c>
      <c r="N45" s="135">
        <f t="shared" ref="N45:N55" si="29">M45-L45</f>
        <v>0</v>
      </c>
      <c r="O45" s="65"/>
      <c r="P45" s="166"/>
      <c r="Q45" s="183"/>
      <c r="R45" s="183"/>
      <c r="S45" s="187"/>
      <c r="T45" s="187"/>
      <c r="U45" s="187"/>
      <c r="V45" s="188"/>
      <c r="W45" s="68"/>
      <c r="X45" s="151"/>
      <c r="Y45" s="147"/>
      <c r="Z45" s="147"/>
      <c r="AA45" s="147"/>
      <c r="AB45" s="147"/>
      <c r="AC45" s="147"/>
      <c r="AD45" s="149"/>
    </row>
    <row r="46" ht="15.75" customHeight="1">
      <c r="A46" s="95" t="s">
        <v>132</v>
      </c>
      <c r="B46" s="176">
        <f t="shared" si="25"/>
        <v>1965</v>
      </c>
      <c r="C46" s="106">
        <v>0.0</v>
      </c>
      <c r="D46" s="97">
        <f t="shared" si="26"/>
        <v>0</v>
      </c>
      <c r="E46" s="68"/>
      <c r="F46" s="68"/>
      <c r="G46" s="68"/>
      <c r="H46" s="68"/>
      <c r="I46" s="68"/>
      <c r="J46" s="68"/>
      <c r="K46" s="98" t="s">
        <v>112</v>
      </c>
      <c r="L46" s="189">
        <f t="shared" si="27"/>
        <v>18</v>
      </c>
      <c r="M46" s="136">
        <f t="shared" si="28"/>
        <v>18</v>
      </c>
      <c r="N46" s="139">
        <f t="shared" si="29"/>
        <v>0</v>
      </c>
      <c r="O46" s="65"/>
      <c r="P46" s="187"/>
      <c r="Q46" s="187"/>
      <c r="R46" s="187"/>
      <c r="S46" s="187"/>
      <c r="T46" s="187"/>
      <c r="U46" s="187"/>
      <c r="V46" s="188"/>
      <c r="W46" s="68"/>
      <c r="X46" s="151"/>
      <c r="Y46" s="147"/>
      <c r="Z46" s="147"/>
      <c r="AA46" s="147"/>
      <c r="AB46" s="147"/>
      <c r="AC46" s="147"/>
      <c r="AD46" s="149"/>
    </row>
    <row r="47" ht="15.75" customHeight="1">
      <c r="A47" s="107" t="s">
        <v>135</v>
      </c>
      <c r="B47" s="176">
        <f t="shared" si="25"/>
        <v>4459</v>
      </c>
      <c r="C47" s="106">
        <v>0.0</v>
      </c>
      <c r="D47" s="97">
        <f t="shared" si="26"/>
        <v>0</v>
      </c>
      <c r="E47" s="68"/>
      <c r="F47" s="68"/>
      <c r="G47" s="68"/>
      <c r="H47" s="68"/>
      <c r="I47" s="68"/>
      <c r="J47" s="68"/>
      <c r="K47" s="204" t="s">
        <v>188</v>
      </c>
      <c r="L47" s="189">
        <f t="shared" si="27"/>
        <v>19</v>
      </c>
      <c r="M47" s="136">
        <f t="shared" si="28"/>
        <v>19</v>
      </c>
      <c r="N47" s="139">
        <f t="shared" si="29"/>
        <v>0</v>
      </c>
      <c r="O47" s="65"/>
      <c r="P47" s="187"/>
      <c r="Q47" s="187"/>
      <c r="R47" s="187"/>
      <c r="S47" s="187"/>
      <c r="T47" s="187"/>
      <c r="U47" s="187"/>
      <c r="V47" s="188"/>
      <c r="W47" s="68"/>
      <c r="X47" s="151"/>
      <c r="Y47" s="147"/>
      <c r="Z47" s="147"/>
      <c r="AA47" s="147"/>
      <c r="AB47" s="147"/>
      <c r="AC47" s="147"/>
      <c r="AD47" s="149"/>
    </row>
    <row r="48" ht="15.75" customHeight="1">
      <c r="A48" s="107" t="s">
        <v>138</v>
      </c>
      <c r="B48" s="190">
        <f t="shared" si="25"/>
        <v>4459</v>
      </c>
      <c r="C48" s="191">
        <v>0.0</v>
      </c>
      <c r="D48" s="97">
        <f t="shared" si="26"/>
        <v>0</v>
      </c>
      <c r="E48" s="68"/>
      <c r="F48" s="68"/>
      <c r="G48" s="68"/>
      <c r="H48" s="68"/>
      <c r="I48" s="68"/>
      <c r="J48" s="68"/>
      <c r="K48" s="204" t="s">
        <v>190</v>
      </c>
      <c r="L48" s="189">
        <f t="shared" si="27"/>
        <v>31</v>
      </c>
      <c r="M48" s="136">
        <f t="shared" si="28"/>
        <v>31</v>
      </c>
      <c r="N48" s="139">
        <f t="shared" si="29"/>
        <v>0</v>
      </c>
      <c r="O48" s="65"/>
      <c r="P48" s="187"/>
      <c r="Q48" s="187"/>
      <c r="R48" s="187"/>
      <c r="S48" s="187"/>
      <c r="T48" s="187"/>
      <c r="U48" s="187"/>
      <c r="V48" s="188"/>
      <c r="W48" s="68"/>
      <c r="X48" s="151"/>
      <c r="Y48" s="147"/>
      <c r="Z48" s="147"/>
      <c r="AA48" s="147"/>
      <c r="AB48" s="147"/>
      <c r="AC48" s="147"/>
      <c r="AD48" s="149"/>
    </row>
    <row r="49" ht="15.75" customHeight="1">
      <c r="A49" s="128" t="s">
        <v>80</v>
      </c>
      <c r="B49" s="192"/>
      <c r="C49" s="64"/>
      <c r="D49" s="193">
        <f>sum(D4:D48)</f>
        <v>50583</v>
      </c>
      <c r="E49" s="68"/>
      <c r="F49" s="68"/>
      <c r="G49" s="68"/>
      <c r="H49" s="68"/>
      <c r="I49" s="68"/>
      <c r="J49" s="68"/>
      <c r="K49" s="204" t="s">
        <v>191</v>
      </c>
      <c r="L49" s="189">
        <f t="shared" si="27"/>
        <v>164</v>
      </c>
      <c r="M49" s="136">
        <f t="shared" si="28"/>
        <v>164</v>
      </c>
      <c r="N49" s="139">
        <f t="shared" si="29"/>
        <v>0</v>
      </c>
      <c r="O49" s="65"/>
      <c r="P49" s="187"/>
      <c r="Q49" s="187"/>
      <c r="R49" s="187"/>
      <c r="S49" s="187"/>
      <c r="T49" s="187"/>
      <c r="U49" s="187"/>
      <c r="V49" s="188"/>
      <c r="W49" s="68"/>
      <c r="X49" s="151"/>
      <c r="Y49" s="147"/>
      <c r="Z49" s="147"/>
      <c r="AA49" s="147"/>
      <c r="AB49" s="147"/>
      <c r="AC49" s="147"/>
      <c r="AD49" s="149"/>
    </row>
    <row r="50" ht="15.75" customHeight="1">
      <c r="A50" s="194"/>
      <c r="B50" s="54"/>
      <c r="C50" s="65"/>
      <c r="D50" s="59"/>
      <c r="E50" s="68"/>
      <c r="F50" s="68"/>
      <c r="G50" s="68"/>
      <c r="H50" s="68"/>
      <c r="I50" s="68"/>
      <c r="J50" s="68"/>
      <c r="K50" s="204" t="s">
        <v>194</v>
      </c>
      <c r="L50" s="189">
        <f t="shared" si="27"/>
        <v>148</v>
      </c>
      <c r="M50" s="136">
        <f t="shared" si="28"/>
        <v>148</v>
      </c>
      <c r="N50" s="139">
        <f t="shared" si="29"/>
        <v>0</v>
      </c>
      <c r="O50" s="65"/>
      <c r="P50" s="187"/>
      <c r="Q50" s="187"/>
      <c r="R50" s="187"/>
      <c r="S50" s="187"/>
      <c r="T50" s="187"/>
      <c r="U50" s="187"/>
      <c r="V50" s="188"/>
      <c r="W50" s="68"/>
      <c r="X50" s="151"/>
      <c r="Y50" s="147"/>
      <c r="Z50" s="147"/>
      <c r="AA50" s="147"/>
      <c r="AB50" s="147"/>
      <c r="AC50" s="147"/>
      <c r="AD50" s="149"/>
    </row>
    <row r="51" ht="15.75" customHeight="1">
      <c r="A51" s="195"/>
      <c r="B51" s="196"/>
      <c r="C51" s="127"/>
      <c r="D51" s="59"/>
      <c r="E51" s="68"/>
      <c r="F51" s="68"/>
      <c r="G51" s="68"/>
      <c r="H51" s="68"/>
      <c r="I51" s="68"/>
      <c r="J51" s="68"/>
      <c r="K51" s="204" t="s">
        <v>197</v>
      </c>
      <c r="L51" s="189">
        <f t="shared" si="27"/>
        <v>10</v>
      </c>
      <c r="M51" s="136">
        <f t="shared" si="28"/>
        <v>10</v>
      </c>
      <c r="N51" s="139">
        <f t="shared" si="29"/>
        <v>0</v>
      </c>
      <c r="O51" s="65"/>
      <c r="P51" s="187"/>
      <c r="Q51" s="187"/>
      <c r="R51" s="187"/>
      <c r="S51" s="187"/>
      <c r="T51" s="187"/>
      <c r="U51" s="187"/>
      <c r="V51" s="188"/>
      <c r="W51" s="68"/>
      <c r="X51" s="151"/>
      <c r="Y51" s="147"/>
      <c r="Z51" s="147"/>
      <c r="AA51" s="147"/>
      <c r="AB51" s="147"/>
      <c r="AC51" s="147"/>
      <c r="AD51" s="149"/>
    </row>
    <row r="52" ht="15.75" customHeight="1">
      <c r="A52" s="197" t="s">
        <v>199</v>
      </c>
      <c r="B52" s="71" t="s">
        <v>200</v>
      </c>
      <c r="C52" s="65"/>
      <c r="D52" s="59"/>
      <c r="E52" s="68"/>
      <c r="F52" s="68"/>
      <c r="G52" s="68"/>
      <c r="H52" s="68"/>
      <c r="I52" s="68"/>
      <c r="J52" s="68"/>
      <c r="K52" s="204" t="s">
        <v>201</v>
      </c>
      <c r="L52" s="189">
        <f t="shared" si="27"/>
        <v>75</v>
      </c>
      <c r="M52" s="136">
        <f t="shared" si="28"/>
        <v>75</v>
      </c>
      <c r="N52" s="139">
        <f t="shared" si="29"/>
        <v>0</v>
      </c>
      <c r="O52" s="65"/>
      <c r="P52" s="187"/>
      <c r="Q52" s="187"/>
      <c r="R52" s="187"/>
      <c r="S52" s="187"/>
      <c r="T52" s="187"/>
      <c r="U52" s="187"/>
      <c r="V52" s="188"/>
      <c r="W52" s="68"/>
      <c r="X52" s="151"/>
      <c r="Y52" s="147"/>
      <c r="Z52" s="147"/>
      <c r="AA52" s="147"/>
      <c r="AB52" s="147"/>
      <c r="AC52" s="147"/>
      <c r="AD52" s="149"/>
    </row>
    <row r="53" ht="15.75" customHeight="1">
      <c r="A53" s="95" t="s">
        <v>109</v>
      </c>
      <c r="B53" s="198">
        <v>1200.0</v>
      </c>
      <c r="C53" s="127"/>
      <c r="D53" s="59"/>
      <c r="K53" s="204" t="s">
        <v>132</v>
      </c>
      <c r="L53" s="189">
        <f t="shared" si="27"/>
        <v>6</v>
      </c>
      <c r="M53" s="136">
        <f t="shared" si="28"/>
        <v>6</v>
      </c>
      <c r="N53" s="139">
        <f t="shared" si="29"/>
        <v>0</v>
      </c>
      <c r="O53" s="65"/>
      <c r="P53" s="187"/>
      <c r="Q53" s="187"/>
      <c r="R53" s="187"/>
      <c r="S53" s="187"/>
      <c r="T53" s="187"/>
      <c r="U53" s="187"/>
      <c r="V53" s="188"/>
      <c r="X53" s="143"/>
      <c r="Y53" s="137"/>
      <c r="Z53" s="137"/>
      <c r="AA53" s="137"/>
      <c r="AB53" s="137"/>
      <c r="AC53" s="137"/>
      <c r="AD53" s="144"/>
    </row>
    <row r="54" ht="15.75" customHeight="1">
      <c r="A54" s="107" t="s">
        <v>112</v>
      </c>
      <c r="B54" s="199">
        <v>1200.0</v>
      </c>
      <c r="C54" s="127"/>
      <c r="D54" s="200"/>
      <c r="K54" s="204" t="s">
        <v>204</v>
      </c>
      <c r="L54" s="189">
        <f t="shared" si="27"/>
        <v>23</v>
      </c>
      <c r="M54" s="136">
        <f t="shared" si="28"/>
        <v>26</v>
      </c>
      <c r="N54" s="139">
        <f t="shared" si="29"/>
        <v>3</v>
      </c>
      <c r="O54" s="65"/>
      <c r="P54" s="187"/>
      <c r="Q54" s="187"/>
      <c r="R54" s="187"/>
      <c r="S54" s="187"/>
      <c r="T54" s="187"/>
      <c r="U54" s="187"/>
      <c r="V54" s="188"/>
      <c r="X54" s="143"/>
      <c r="Y54" s="137"/>
      <c r="Z54" s="137"/>
      <c r="AA54" s="137"/>
      <c r="AB54" s="137"/>
      <c r="AC54" s="137"/>
      <c r="AD54" s="144"/>
    </row>
    <row r="55" ht="15.75" customHeight="1">
      <c r="A55" s="107" t="s">
        <v>115</v>
      </c>
      <c r="B55" s="199">
        <v>1900.0</v>
      </c>
      <c r="C55" s="127"/>
      <c r="D55" s="196"/>
      <c r="K55" s="209" t="s">
        <v>206</v>
      </c>
      <c r="L55" s="222">
        <f t="shared" si="27"/>
        <v>21</v>
      </c>
      <c r="M55" s="154">
        <f t="shared" si="28"/>
        <v>21</v>
      </c>
      <c r="N55" s="158">
        <f t="shared" si="29"/>
        <v>0</v>
      </c>
      <c r="O55" s="65"/>
      <c r="P55" s="187"/>
      <c r="Q55" s="187"/>
      <c r="R55" s="187"/>
      <c r="S55" s="187"/>
      <c r="T55" s="187"/>
      <c r="U55" s="187"/>
      <c r="V55" s="188"/>
      <c r="X55" s="143"/>
      <c r="Y55" s="137"/>
      <c r="Z55" s="137"/>
      <c r="AA55" s="137"/>
      <c r="AB55" s="137"/>
      <c r="AC55" s="137"/>
      <c r="AD55" s="144"/>
    </row>
    <row r="56" ht="15.75" customHeight="1">
      <c r="A56" s="107" t="s">
        <v>119</v>
      </c>
      <c r="B56" s="199">
        <v>1900.0</v>
      </c>
      <c r="C56" s="127"/>
      <c r="D56" s="196"/>
      <c r="E56" s="65"/>
      <c r="F56" s="65"/>
      <c r="G56" s="65"/>
      <c r="H56" s="65"/>
      <c r="I56" s="65"/>
      <c r="J56" s="65"/>
      <c r="K56" s="166"/>
      <c r="L56" s="201"/>
      <c r="P56" s="187"/>
      <c r="Q56" s="187"/>
      <c r="R56" s="187"/>
      <c r="S56" s="187"/>
      <c r="T56" s="187"/>
      <c r="U56" s="187"/>
      <c r="V56" s="188"/>
      <c r="X56" s="143"/>
      <c r="Y56" s="137"/>
      <c r="Z56" s="137"/>
      <c r="AA56" s="137"/>
      <c r="AB56" s="137"/>
      <c r="AC56" s="137"/>
      <c r="AD56" s="144"/>
    </row>
    <row r="57" ht="15.75" customHeight="1">
      <c r="A57" s="107" t="s">
        <v>103</v>
      </c>
      <c r="B57" s="199">
        <v>2000.0</v>
      </c>
      <c r="C57" s="127"/>
      <c r="D57" s="196"/>
      <c r="E57" s="65"/>
      <c r="F57" s="65"/>
      <c r="G57" s="65"/>
      <c r="H57" s="65"/>
      <c r="I57" s="65"/>
      <c r="J57" s="65"/>
      <c r="K57" s="166"/>
      <c r="L57" s="202"/>
      <c r="M57" s="166"/>
      <c r="N57" s="166"/>
      <c r="O57" s="166"/>
      <c r="P57" s="187"/>
      <c r="Q57" s="187"/>
      <c r="R57" s="187"/>
      <c r="X57" s="143"/>
      <c r="Y57" s="137"/>
      <c r="Z57" s="137"/>
      <c r="AA57" s="137"/>
      <c r="AB57" s="137"/>
      <c r="AC57" s="137"/>
      <c r="AD57" s="144"/>
    </row>
    <row r="58" ht="15.75" customHeight="1">
      <c r="A58" s="107" t="s">
        <v>104</v>
      </c>
      <c r="B58" s="199">
        <v>2000.0</v>
      </c>
      <c r="C58" s="127"/>
      <c r="D58" s="196"/>
      <c r="E58" s="65"/>
      <c r="F58" s="65"/>
      <c r="G58" s="65"/>
      <c r="H58" s="65"/>
      <c r="I58" s="65"/>
      <c r="J58" s="65"/>
      <c r="K58" s="128" t="s">
        <v>90</v>
      </c>
      <c r="L58" s="72" t="s">
        <v>85</v>
      </c>
      <c r="M58" s="128" t="s">
        <v>90</v>
      </c>
      <c r="N58" s="72" t="s">
        <v>145</v>
      </c>
      <c r="O58" s="72" t="s">
        <v>92</v>
      </c>
      <c r="X58" s="143"/>
      <c r="Y58" s="137"/>
      <c r="Z58" s="137"/>
      <c r="AA58" s="137"/>
      <c r="AB58" s="137"/>
      <c r="AC58" s="137"/>
      <c r="AD58" s="144"/>
    </row>
    <row r="59" ht="15.75" customHeight="1">
      <c r="A59" s="107" t="s">
        <v>126</v>
      </c>
      <c r="B59" s="199">
        <v>3700.0</v>
      </c>
      <c r="C59" s="127"/>
      <c r="D59" s="196"/>
      <c r="E59" s="65"/>
      <c r="F59" s="65"/>
      <c r="G59" s="65"/>
      <c r="H59" s="65"/>
      <c r="I59" s="65"/>
      <c r="J59" s="65"/>
      <c r="K59" s="203" t="s">
        <v>109</v>
      </c>
      <c r="L59" s="101">
        <f>'DAILY STOCKS (W)'!O59</f>
        <v>0</v>
      </c>
      <c r="M59" s="132">
        <f t="shared" ref="M59:M69" si="30">R4</f>
        <v>0</v>
      </c>
      <c r="N59" s="132" t="str">
        <f t="shared" ref="N59:N69" si="31">P18</f>
        <v/>
      </c>
      <c r="O59" s="135">
        <f t="shared" ref="O59:O69" si="32">L59+M59-N59</f>
        <v>0</v>
      </c>
      <c r="X59" s="143"/>
      <c r="Y59" s="137"/>
      <c r="Z59" s="137"/>
      <c r="AA59" s="137"/>
      <c r="AB59" s="137"/>
      <c r="AC59" s="137"/>
      <c r="AD59" s="144"/>
    </row>
    <row r="60" ht="15.75" customHeight="1">
      <c r="A60" s="107" t="s">
        <v>129</v>
      </c>
      <c r="B60" s="199">
        <v>3700.0</v>
      </c>
      <c r="C60" s="127"/>
      <c r="D60" s="196"/>
      <c r="E60" s="65"/>
      <c r="F60" s="65"/>
      <c r="G60" s="65"/>
      <c r="H60" s="65"/>
      <c r="I60" s="65"/>
      <c r="J60" s="65"/>
      <c r="K60" s="98" t="s">
        <v>112</v>
      </c>
      <c r="L60" s="101">
        <f>'DAILY STOCKS (W)'!O60</f>
        <v>0</v>
      </c>
      <c r="M60" s="136">
        <f t="shared" si="30"/>
        <v>0</v>
      </c>
      <c r="N60" s="136" t="str">
        <f t="shared" si="31"/>
        <v/>
      </c>
      <c r="O60" s="139">
        <f t="shared" si="32"/>
        <v>0</v>
      </c>
      <c r="X60" s="143"/>
      <c r="Y60" s="137"/>
      <c r="Z60" s="137"/>
      <c r="AA60" s="137"/>
      <c r="AB60" s="137"/>
      <c r="AC60" s="137"/>
      <c r="AD60" s="144"/>
    </row>
    <row r="61" ht="15.75" customHeight="1">
      <c r="A61" s="95" t="s">
        <v>132</v>
      </c>
      <c r="B61" s="199">
        <v>3700.0</v>
      </c>
      <c r="C61" s="127"/>
      <c r="D61" s="59"/>
      <c r="E61" s="65"/>
      <c r="F61" s="65"/>
      <c r="G61" s="65"/>
      <c r="H61" s="65"/>
      <c r="I61" s="65"/>
      <c r="J61" s="65"/>
      <c r="K61" s="204" t="s">
        <v>188</v>
      </c>
      <c r="L61" s="101">
        <f>'DAILY STOCKS (W)'!O61</f>
        <v>0</v>
      </c>
      <c r="M61" s="136">
        <f t="shared" si="30"/>
        <v>0</v>
      </c>
      <c r="N61" s="136" t="str">
        <f t="shared" si="31"/>
        <v/>
      </c>
      <c r="O61" s="139">
        <f t="shared" si="32"/>
        <v>0</v>
      </c>
      <c r="X61" s="143"/>
      <c r="Y61" s="137"/>
      <c r="Z61" s="137"/>
      <c r="AA61" s="137"/>
      <c r="AB61" s="137"/>
      <c r="AC61" s="137"/>
      <c r="AD61" s="144"/>
    </row>
    <row r="62" ht="15.75" customHeight="1">
      <c r="A62" s="107" t="s">
        <v>135</v>
      </c>
      <c r="B62" s="199">
        <v>5000.0</v>
      </c>
      <c r="C62" s="127"/>
      <c r="D62" s="59"/>
      <c r="E62" s="65"/>
      <c r="F62" s="65"/>
      <c r="G62" s="65"/>
      <c r="H62" s="65"/>
      <c r="I62" s="65"/>
      <c r="J62" s="65"/>
      <c r="K62" s="204" t="s">
        <v>190</v>
      </c>
      <c r="L62" s="101">
        <f>'DAILY STOCKS (W)'!O62</f>
        <v>0</v>
      </c>
      <c r="M62" s="136">
        <f t="shared" si="30"/>
        <v>0</v>
      </c>
      <c r="N62" s="136" t="str">
        <f t="shared" si="31"/>
        <v/>
      </c>
      <c r="O62" s="139">
        <f t="shared" si="32"/>
        <v>0</v>
      </c>
      <c r="X62" s="143"/>
      <c r="Y62" s="137"/>
      <c r="Z62" s="137"/>
      <c r="AA62" s="137"/>
      <c r="AB62" s="137"/>
      <c r="AC62" s="137"/>
      <c r="AD62" s="144"/>
    </row>
    <row r="63" ht="15.75" customHeight="1">
      <c r="A63" s="117" t="s">
        <v>138</v>
      </c>
      <c r="B63" s="205">
        <v>5000.0</v>
      </c>
      <c r="C63" s="127"/>
      <c r="D63" s="59"/>
      <c r="E63" s="65"/>
      <c r="F63" s="65"/>
      <c r="G63" s="65"/>
      <c r="H63" s="65"/>
      <c r="I63" s="65"/>
      <c r="J63" s="65"/>
      <c r="K63" s="204" t="s">
        <v>191</v>
      </c>
      <c r="L63" s="101">
        <f>'DAILY STOCKS (W)'!O63</f>
        <v>-1</v>
      </c>
      <c r="M63" s="136">
        <f t="shared" si="30"/>
        <v>0</v>
      </c>
      <c r="N63" s="136" t="str">
        <f t="shared" si="31"/>
        <v/>
      </c>
      <c r="O63" s="139">
        <f t="shared" si="32"/>
        <v>-1</v>
      </c>
      <c r="X63" s="143"/>
      <c r="Y63" s="137"/>
      <c r="Z63" s="137"/>
      <c r="AA63" s="137"/>
      <c r="AB63" s="137"/>
      <c r="AC63" s="137"/>
      <c r="AD63" s="144"/>
    </row>
    <row r="64" ht="15.75" customHeight="1">
      <c r="A64" s="195"/>
      <c r="B64" s="206"/>
      <c r="C64" s="207"/>
      <c r="D64" s="59"/>
      <c r="E64" s="65"/>
      <c r="F64" s="65"/>
      <c r="G64" s="65"/>
      <c r="H64" s="65"/>
      <c r="I64" s="65"/>
      <c r="J64" s="65"/>
      <c r="K64" s="204" t="s">
        <v>194</v>
      </c>
      <c r="L64" s="101">
        <f>'DAILY STOCKS (W)'!O64</f>
        <v>0</v>
      </c>
      <c r="M64" s="136">
        <f t="shared" si="30"/>
        <v>0</v>
      </c>
      <c r="N64" s="136" t="str">
        <f t="shared" si="31"/>
        <v/>
      </c>
      <c r="O64" s="139">
        <f t="shared" si="32"/>
        <v>0</v>
      </c>
      <c r="X64" s="143"/>
      <c r="Y64" s="137"/>
      <c r="Z64" s="137"/>
      <c r="AA64" s="137"/>
      <c r="AB64" s="137"/>
      <c r="AC64" s="137"/>
      <c r="AD64" s="144"/>
    </row>
    <row r="65" ht="15.75" customHeight="1">
      <c r="A65" s="195"/>
      <c r="B65" s="206"/>
      <c r="C65" s="207"/>
      <c r="D65" s="206"/>
      <c r="E65" s="65"/>
      <c r="F65" s="65"/>
      <c r="G65" s="65"/>
      <c r="H65" s="65"/>
      <c r="I65" s="65"/>
      <c r="J65" s="65"/>
      <c r="K65" s="204" t="s">
        <v>197</v>
      </c>
      <c r="L65" s="101">
        <f>'DAILY STOCKS (W)'!O65</f>
        <v>0</v>
      </c>
      <c r="M65" s="136">
        <f t="shared" si="30"/>
        <v>0</v>
      </c>
      <c r="N65" s="136" t="str">
        <f t="shared" si="31"/>
        <v/>
      </c>
      <c r="O65" s="139">
        <f t="shared" si="32"/>
        <v>0</v>
      </c>
      <c r="X65" s="143"/>
      <c r="Y65" s="137"/>
      <c r="Z65" s="137"/>
      <c r="AA65" s="137"/>
      <c r="AB65" s="137"/>
      <c r="AC65" s="137"/>
      <c r="AD65" s="144"/>
    </row>
    <row r="66" ht="15.75" customHeight="1">
      <c r="A66" s="195"/>
      <c r="B66" s="206"/>
      <c r="C66" s="207"/>
      <c r="D66" s="206"/>
      <c r="E66" s="208"/>
      <c r="F66" s="208"/>
      <c r="G66" s="208"/>
      <c r="H66" s="208"/>
      <c r="I66" s="208"/>
      <c r="J66" s="208"/>
      <c r="K66" s="204" t="s">
        <v>201</v>
      </c>
      <c r="L66" s="101">
        <f>'DAILY STOCKS (W)'!O66</f>
        <v>0</v>
      </c>
      <c r="M66" s="136">
        <f t="shared" si="30"/>
        <v>0</v>
      </c>
      <c r="N66" s="136" t="str">
        <f t="shared" si="31"/>
        <v/>
      </c>
      <c r="O66" s="139">
        <f t="shared" si="32"/>
        <v>0</v>
      </c>
      <c r="S66" s="187"/>
      <c r="T66" s="187"/>
      <c r="U66" s="187"/>
      <c r="V66" s="188"/>
      <c r="X66" s="143"/>
      <c r="Y66" s="137"/>
      <c r="Z66" s="137"/>
      <c r="AA66" s="137"/>
      <c r="AB66" s="137"/>
      <c r="AC66" s="137"/>
      <c r="AD66" s="144"/>
    </row>
    <row r="67" ht="15.75" customHeight="1">
      <c r="A67" s="195"/>
      <c r="B67" s="206"/>
      <c r="C67" s="207"/>
      <c r="D67" s="206"/>
      <c r="E67" s="65"/>
      <c r="F67" s="65"/>
      <c r="G67" s="65"/>
      <c r="H67" s="65"/>
      <c r="I67" s="65"/>
      <c r="J67" s="65"/>
      <c r="K67" s="204" t="s">
        <v>132</v>
      </c>
      <c r="L67" s="101">
        <f>'DAILY STOCKS (W)'!O67</f>
        <v>0</v>
      </c>
      <c r="M67" s="136">
        <f t="shared" si="30"/>
        <v>0</v>
      </c>
      <c r="N67" s="136" t="str">
        <f t="shared" si="31"/>
        <v/>
      </c>
      <c r="O67" s="139">
        <f t="shared" si="32"/>
        <v>0</v>
      </c>
      <c r="P67" s="187"/>
      <c r="Q67" s="187"/>
      <c r="R67" s="187"/>
      <c r="S67" s="187"/>
      <c r="T67" s="187"/>
      <c r="U67" s="187"/>
      <c r="V67" s="188"/>
      <c r="X67" s="143"/>
      <c r="Y67" s="137"/>
      <c r="Z67" s="137"/>
      <c r="AA67" s="137"/>
      <c r="AB67" s="137"/>
      <c r="AC67" s="137"/>
      <c r="AD67" s="144"/>
    </row>
    <row r="68" ht="15.75" customHeight="1">
      <c r="A68" s="195"/>
      <c r="B68" s="206"/>
      <c r="C68" s="207"/>
      <c r="D68" s="206"/>
      <c r="E68" s="65"/>
      <c r="F68" s="65"/>
      <c r="G68" s="65"/>
      <c r="H68" s="65"/>
      <c r="I68" s="65"/>
      <c r="J68" s="65"/>
      <c r="K68" s="204" t="s">
        <v>204</v>
      </c>
      <c r="L68" s="101">
        <f>'DAILY STOCKS (W)'!O68</f>
        <v>0</v>
      </c>
      <c r="M68" s="136">
        <f t="shared" si="30"/>
        <v>0</v>
      </c>
      <c r="N68" s="136" t="str">
        <f t="shared" si="31"/>
        <v/>
      </c>
      <c r="O68" s="139">
        <f t="shared" si="32"/>
        <v>0</v>
      </c>
      <c r="P68" s="187"/>
      <c r="Q68" s="187"/>
      <c r="R68" s="187"/>
      <c r="S68" s="187"/>
      <c r="T68" s="187"/>
      <c r="U68" s="187"/>
      <c r="V68" s="188"/>
      <c r="X68" s="143"/>
      <c r="Y68" s="137"/>
      <c r="Z68" s="137"/>
      <c r="AA68" s="137"/>
      <c r="AB68" s="137"/>
      <c r="AC68" s="137"/>
      <c r="AD68" s="144"/>
    </row>
    <row r="69" ht="15.75" customHeight="1">
      <c r="A69" s="195"/>
      <c r="B69" s="206"/>
      <c r="C69" s="207"/>
      <c r="D69" s="206"/>
      <c r="E69" s="65"/>
      <c r="F69" s="65"/>
      <c r="G69" s="65"/>
      <c r="H69" s="65"/>
      <c r="I69" s="65"/>
      <c r="J69" s="65"/>
      <c r="K69" s="209" t="s">
        <v>206</v>
      </c>
      <c r="L69" s="122">
        <f>'DAILY STOCKS (W)'!O69</f>
        <v>0</v>
      </c>
      <c r="M69" s="154">
        <f t="shared" si="30"/>
        <v>0</v>
      </c>
      <c r="N69" s="154" t="str">
        <f t="shared" si="31"/>
        <v/>
      </c>
      <c r="O69" s="158">
        <f t="shared" si="32"/>
        <v>0</v>
      </c>
      <c r="P69" s="187"/>
      <c r="Q69" s="187"/>
      <c r="R69" s="187"/>
      <c r="S69" s="187"/>
      <c r="T69" s="187"/>
      <c r="U69" s="187"/>
      <c r="V69" s="188"/>
      <c r="X69" s="143"/>
      <c r="Y69" s="137"/>
      <c r="Z69" s="137"/>
      <c r="AA69" s="137"/>
      <c r="AB69" s="137"/>
      <c r="AC69" s="137"/>
      <c r="AD69" s="144"/>
    </row>
    <row r="70" ht="15.75" customHeight="1">
      <c r="A70" s="195"/>
      <c r="B70" s="206"/>
      <c r="C70" s="207"/>
      <c r="D70" s="206"/>
      <c r="E70" s="65"/>
      <c r="F70" s="65"/>
      <c r="G70" s="65"/>
      <c r="H70" s="65"/>
      <c r="I70" s="65"/>
      <c r="J70" s="65"/>
      <c r="K70" s="65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8"/>
      <c r="X70" s="143"/>
      <c r="Y70" s="137"/>
      <c r="Z70" s="137"/>
      <c r="AA70" s="137"/>
      <c r="AB70" s="137"/>
      <c r="AC70" s="137"/>
      <c r="AD70" s="144"/>
    </row>
    <row r="71" ht="15.75" customHeight="1">
      <c r="A71" s="195"/>
      <c r="B71" s="206"/>
      <c r="C71" s="207"/>
      <c r="D71" s="206"/>
      <c r="E71" s="65"/>
      <c r="F71" s="65"/>
      <c r="G71" s="65"/>
      <c r="H71" s="65"/>
      <c r="I71" s="65"/>
      <c r="J71" s="65"/>
      <c r="K71" s="65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8"/>
      <c r="X71" s="143"/>
      <c r="Y71" s="137"/>
      <c r="Z71" s="137"/>
      <c r="AA71" s="137"/>
      <c r="AB71" s="137"/>
      <c r="AC71" s="137"/>
      <c r="AD71" s="144"/>
    </row>
    <row r="72" ht="15.75" customHeight="1">
      <c r="A72" s="195"/>
      <c r="B72" s="206"/>
      <c r="C72" s="207"/>
      <c r="D72" s="206"/>
      <c r="E72" s="210"/>
      <c r="F72" s="210"/>
      <c r="G72" s="210"/>
      <c r="H72" s="210"/>
      <c r="I72" s="210"/>
      <c r="J72" s="210"/>
      <c r="K72" s="65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8"/>
      <c r="X72" s="143"/>
      <c r="Y72" s="137"/>
      <c r="Z72" s="137"/>
      <c r="AA72" s="137"/>
      <c r="AB72" s="137"/>
      <c r="AC72" s="137"/>
      <c r="AD72" s="144"/>
    </row>
    <row r="73" ht="15.75" customHeight="1">
      <c r="A73" s="195"/>
      <c r="B73" s="206"/>
      <c r="C73" s="207"/>
      <c r="D73" s="206"/>
      <c r="E73" s="207"/>
      <c r="F73" s="207"/>
      <c r="G73" s="207"/>
      <c r="H73" s="207"/>
      <c r="I73" s="207"/>
      <c r="J73" s="207"/>
      <c r="K73" s="65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8"/>
      <c r="X73" s="143"/>
      <c r="Y73" s="137"/>
      <c r="Z73" s="137"/>
      <c r="AA73" s="137"/>
      <c r="AB73" s="137"/>
      <c r="AC73" s="137"/>
      <c r="AD73" s="144"/>
    </row>
    <row r="74" ht="15.75" customHeight="1">
      <c r="A74" s="195"/>
      <c r="B74" s="206"/>
      <c r="C74" s="207"/>
      <c r="D74" s="206"/>
      <c r="E74" s="207"/>
      <c r="F74" s="207"/>
      <c r="G74" s="207"/>
      <c r="H74" s="207"/>
      <c r="I74" s="207"/>
      <c r="J74" s="207"/>
      <c r="K74" s="65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8"/>
      <c r="X74" s="143"/>
      <c r="Y74" s="137"/>
      <c r="Z74" s="137"/>
      <c r="AA74" s="137"/>
      <c r="AB74" s="137"/>
      <c r="AC74" s="137"/>
      <c r="AD74" s="144"/>
    </row>
    <row r="75" ht="15.75" customHeight="1">
      <c r="A75" s="195"/>
      <c r="B75" s="206"/>
      <c r="C75" s="207"/>
      <c r="D75" s="206"/>
      <c r="E75" s="207"/>
      <c r="F75" s="207"/>
      <c r="G75" s="207"/>
      <c r="H75" s="207"/>
      <c r="I75" s="207"/>
      <c r="J75" s="207"/>
      <c r="K75" s="65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8"/>
      <c r="X75" s="143"/>
      <c r="Y75" s="137"/>
      <c r="Z75" s="137"/>
      <c r="AA75" s="137"/>
      <c r="AB75" s="137"/>
      <c r="AC75" s="137"/>
      <c r="AD75" s="144"/>
    </row>
    <row r="76" ht="15.75" customHeight="1">
      <c r="A76" s="195"/>
      <c r="B76" s="206"/>
      <c r="C76" s="207"/>
      <c r="D76" s="206"/>
      <c r="E76" s="207"/>
      <c r="F76" s="207"/>
      <c r="G76" s="207"/>
      <c r="H76" s="207"/>
      <c r="I76" s="207"/>
      <c r="J76" s="207"/>
      <c r="K76" s="65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8"/>
      <c r="X76" s="143"/>
      <c r="Y76" s="137"/>
      <c r="Z76" s="137"/>
      <c r="AA76" s="137"/>
      <c r="AB76" s="137"/>
      <c r="AC76" s="137"/>
      <c r="AD76" s="144"/>
    </row>
    <row r="77" ht="15.75" customHeight="1">
      <c r="A77" s="195"/>
      <c r="B77" s="206"/>
      <c r="C77" s="207"/>
      <c r="D77" s="206"/>
      <c r="E77" s="207"/>
      <c r="F77" s="207"/>
      <c r="G77" s="207"/>
      <c r="H77" s="207"/>
      <c r="I77" s="207"/>
      <c r="J77" s="207"/>
      <c r="K77" s="65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8"/>
      <c r="X77" s="143"/>
      <c r="Y77" s="137"/>
      <c r="Z77" s="137"/>
      <c r="AA77" s="137"/>
      <c r="AB77" s="137"/>
      <c r="AC77" s="137"/>
      <c r="AD77" s="144"/>
    </row>
    <row r="78" ht="15.75" customHeight="1">
      <c r="A78" s="195"/>
      <c r="B78" s="206"/>
      <c r="C78" s="207"/>
      <c r="D78" s="206"/>
      <c r="E78" s="207"/>
      <c r="F78" s="207"/>
      <c r="G78" s="207"/>
      <c r="H78" s="207"/>
      <c r="I78" s="207"/>
      <c r="J78" s="207"/>
      <c r="K78" s="65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8"/>
      <c r="X78" s="143"/>
      <c r="Y78" s="137"/>
      <c r="Z78" s="137"/>
      <c r="AA78" s="137"/>
      <c r="AB78" s="137"/>
      <c r="AC78" s="137"/>
      <c r="AD78" s="144"/>
    </row>
    <row r="79" ht="15.75" customHeight="1">
      <c r="A79" s="195"/>
      <c r="B79" s="206"/>
      <c r="C79" s="207"/>
      <c r="D79" s="206"/>
      <c r="E79" s="207"/>
      <c r="F79" s="207"/>
      <c r="G79" s="207"/>
      <c r="H79" s="207"/>
      <c r="I79" s="207"/>
      <c r="J79" s="207"/>
      <c r="K79" s="65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8"/>
      <c r="X79" s="143"/>
      <c r="Y79" s="137"/>
      <c r="Z79" s="137"/>
      <c r="AA79" s="137"/>
      <c r="AB79" s="137"/>
      <c r="AC79" s="137"/>
      <c r="AD79" s="144"/>
    </row>
    <row r="80" ht="15.75" customHeight="1">
      <c r="A80" s="195"/>
      <c r="B80" s="206"/>
      <c r="C80" s="207"/>
      <c r="D80" s="206"/>
      <c r="E80" s="207"/>
      <c r="F80" s="207"/>
      <c r="G80" s="207"/>
      <c r="H80" s="207"/>
      <c r="I80" s="207"/>
      <c r="J80" s="207"/>
      <c r="K80" s="65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8"/>
      <c r="X80" s="143"/>
      <c r="Y80" s="137"/>
      <c r="Z80" s="137"/>
      <c r="AA80" s="137"/>
      <c r="AB80" s="137"/>
      <c r="AC80" s="137"/>
      <c r="AD80" s="144"/>
    </row>
    <row r="81" ht="15.75" customHeight="1">
      <c r="A81" s="195"/>
      <c r="B81" s="59"/>
      <c r="C81" s="207"/>
      <c r="D81" s="206"/>
      <c r="E81" s="207"/>
      <c r="F81" s="207"/>
      <c r="G81" s="207"/>
      <c r="H81" s="207"/>
      <c r="I81" s="207"/>
      <c r="J81" s="207"/>
      <c r="K81" s="65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8"/>
      <c r="X81" s="143"/>
      <c r="Y81" s="137"/>
      <c r="Z81" s="137"/>
      <c r="AA81" s="137"/>
      <c r="AB81" s="137"/>
      <c r="AC81" s="137"/>
      <c r="AD81" s="144"/>
    </row>
    <row r="82" ht="15.75" customHeight="1">
      <c r="A82" s="195"/>
      <c r="B82" s="59"/>
      <c r="C82" s="207"/>
      <c r="D82" s="206"/>
      <c r="E82" s="207"/>
      <c r="F82" s="207"/>
      <c r="G82" s="207"/>
      <c r="H82" s="207"/>
      <c r="I82" s="207"/>
      <c r="J82" s="207"/>
      <c r="K82" s="65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8"/>
      <c r="X82" s="143"/>
      <c r="Y82" s="137"/>
      <c r="Z82" s="137"/>
      <c r="AA82" s="137"/>
      <c r="AB82" s="137"/>
      <c r="AC82" s="137"/>
      <c r="AD82" s="144"/>
    </row>
    <row r="83" ht="15.75" customHeight="1">
      <c r="A83" s="195"/>
      <c r="B83" s="59"/>
      <c r="C83" s="207"/>
      <c r="D83" s="206"/>
      <c r="E83" s="207"/>
      <c r="F83" s="207"/>
      <c r="G83" s="207"/>
      <c r="H83" s="207"/>
      <c r="I83" s="207"/>
      <c r="J83" s="207"/>
      <c r="K83" s="65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8"/>
      <c r="X83" s="143"/>
      <c r="Y83" s="137"/>
      <c r="Z83" s="137"/>
      <c r="AA83" s="137"/>
      <c r="AB83" s="137"/>
      <c r="AC83" s="137"/>
      <c r="AD83" s="144"/>
    </row>
    <row r="84" ht="15.75" customHeight="1">
      <c r="A84" s="195"/>
      <c r="B84" s="59"/>
      <c r="C84" s="207"/>
      <c r="D84" s="206"/>
      <c r="E84" s="207"/>
      <c r="F84" s="207"/>
      <c r="G84" s="207"/>
      <c r="H84" s="207"/>
      <c r="I84" s="207"/>
      <c r="J84" s="207"/>
      <c r="K84" s="65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8"/>
      <c r="X84" s="143"/>
      <c r="Y84" s="137"/>
      <c r="Z84" s="137"/>
      <c r="AA84" s="137"/>
      <c r="AB84" s="137"/>
      <c r="AC84" s="137"/>
      <c r="AD84" s="144"/>
    </row>
    <row r="85" ht="15.75" customHeight="1">
      <c r="A85" s="195"/>
      <c r="B85" s="59"/>
      <c r="C85" s="207"/>
      <c r="D85" s="59"/>
      <c r="E85" s="207"/>
      <c r="F85" s="207"/>
      <c r="G85" s="207"/>
      <c r="H85" s="207"/>
      <c r="I85" s="207"/>
      <c r="J85" s="207"/>
      <c r="K85" s="65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8"/>
      <c r="X85" s="143"/>
      <c r="Y85" s="137"/>
      <c r="Z85" s="137"/>
      <c r="AA85" s="137"/>
      <c r="AB85" s="137"/>
      <c r="AC85" s="137"/>
      <c r="AD85" s="144"/>
    </row>
    <row r="86" ht="15.75" customHeight="1">
      <c r="A86" s="195"/>
      <c r="B86" s="59"/>
      <c r="C86" s="207"/>
      <c r="D86" s="59"/>
      <c r="E86" s="207"/>
      <c r="F86" s="207"/>
      <c r="G86" s="207"/>
      <c r="H86" s="207"/>
      <c r="I86" s="207"/>
      <c r="J86" s="207"/>
      <c r="K86" s="65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8"/>
      <c r="X86" s="143"/>
      <c r="Y86" s="137"/>
      <c r="Z86" s="137"/>
      <c r="AA86" s="137"/>
      <c r="AB86" s="137"/>
      <c r="AC86" s="137"/>
      <c r="AD86" s="144"/>
    </row>
    <row r="87" ht="15.75" customHeight="1">
      <c r="A87" s="195"/>
      <c r="B87" s="59"/>
      <c r="C87" s="207"/>
      <c r="D87" s="59"/>
      <c r="E87" s="207"/>
      <c r="F87" s="207"/>
      <c r="G87" s="207"/>
      <c r="H87" s="207"/>
      <c r="I87" s="207"/>
      <c r="J87" s="207"/>
      <c r="K87" s="65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8"/>
      <c r="X87" s="143"/>
      <c r="Y87" s="137"/>
      <c r="Z87" s="137"/>
      <c r="AA87" s="137"/>
      <c r="AB87" s="137"/>
      <c r="AC87" s="137"/>
      <c r="AD87" s="144"/>
    </row>
    <row r="88" ht="15.75" customHeight="1">
      <c r="A88" s="195"/>
      <c r="B88" s="59"/>
      <c r="C88" s="207"/>
      <c r="D88" s="59"/>
      <c r="E88" s="207"/>
      <c r="F88" s="207"/>
      <c r="G88" s="207"/>
      <c r="H88" s="207"/>
      <c r="I88" s="207"/>
      <c r="J88" s="207"/>
      <c r="K88" s="65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8"/>
      <c r="X88" s="143"/>
      <c r="Y88" s="137"/>
      <c r="Z88" s="137"/>
      <c r="AA88" s="137"/>
      <c r="AB88" s="137"/>
      <c r="AC88" s="137"/>
      <c r="AD88" s="144"/>
    </row>
    <row r="89" ht="15.75" customHeight="1">
      <c r="A89" s="195"/>
      <c r="B89" s="59"/>
      <c r="C89" s="207"/>
      <c r="D89" s="59"/>
      <c r="E89" s="207"/>
      <c r="F89" s="207"/>
      <c r="G89" s="207"/>
      <c r="H89" s="207"/>
      <c r="I89" s="207"/>
      <c r="J89" s="207"/>
      <c r="K89" s="65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8"/>
      <c r="X89" s="143"/>
      <c r="Y89" s="137"/>
      <c r="Z89" s="137"/>
      <c r="AA89" s="137"/>
      <c r="AB89" s="137"/>
      <c r="AC89" s="137"/>
      <c r="AD89" s="144"/>
    </row>
    <row r="90" ht="15.75" customHeight="1">
      <c r="A90" s="195"/>
      <c r="B90" s="59"/>
      <c r="C90" s="207"/>
      <c r="D90" s="59"/>
      <c r="E90" s="207"/>
      <c r="F90" s="207"/>
      <c r="G90" s="207"/>
      <c r="H90" s="207"/>
      <c r="I90" s="207"/>
      <c r="J90" s="207"/>
      <c r="K90" s="65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8"/>
      <c r="X90" s="143"/>
      <c r="Y90" s="137"/>
      <c r="Z90" s="137"/>
      <c r="AA90" s="137"/>
      <c r="AB90" s="137"/>
      <c r="AC90" s="137"/>
      <c r="AD90" s="144"/>
    </row>
    <row r="91" ht="15.75" customHeight="1">
      <c r="A91" s="195"/>
      <c r="B91" s="59"/>
      <c r="C91" s="207"/>
      <c r="D91" s="59"/>
      <c r="E91" s="207"/>
      <c r="F91" s="207"/>
      <c r="G91" s="207"/>
      <c r="H91" s="207"/>
      <c r="I91" s="207"/>
      <c r="J91" s="207"/>
      <c r="K91" s="65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8"/>
      <c r="X91" s="143"/>
      <c r="Y91" s="137"/>
      <c r="Z91" s="137"/>
      <c r="AA91" s="137"/>
      <c r="AB91" s="137"/>
      <c r="AC91" s="137"/>
      <c r="AD91" s="144"/>
    </row>
    <row r="92" ht="15.75" customHeight="1">
      <c r="A92" s="195"/>
      <c r="B92" s="59"/>
      <c r="C92" s="207"/>
      <c r="D92" s="59"/>
      <c r="E92" s="207"/>
      <c r="F92" s="207"/>
      <c r="G92" s="207"/>
      <c r="H92" s="207"/>
      <c r="I92" s="207"/>
      <c r="J92" s="207"/>
      <c r="K92" s="65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8"/>
      <c r="X92" s="143"/>
      <c r="Y92" s="137"/>
      <c r="Z92" s="137"/>
      <c r="AA92" s="137"/>
      <c r="AB92" s="137"/>
      <c r="AC92" s="137"/>
      <c r="AD92" s="144"/>
    </row>
    <row r="93" ht="15.75" customHeight="1">
      <c r="A93" s="195"/>
      <c r="B93" s="59"/>
      <c r="C93" s="207"/>
      <c r="D93" s="59"/>
      <c r="E93" s="65"/>
      <c r="F93" s="65"/>
      <c r="G93" s="65"/>
      <c r="H93" s="65"/>
      <c r="I93" s="65"/>
      <c r="J93" s="65"/>
      <c r="K93" s="65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8"/>
      <c r="X93" s="143"/>
      <c r="Y93" s="137"/>
      <c r="Z93" s="137"/>
      <c r="AA93" s="137"/>
      <c r="AB93" s="137"/>
      <c r="AC93" s="137"/>
      <c r="AD93" s="144"/>
    </row>
    <row r="94" ht="15.75" customHeight="1">
      <c r="A94" s="195"/>
      <c r="B94" s="59"/>
      <c r="C94" s="207"/>
      <c r="D94" s="59"/>
      <c r="E94" s="65"/>
      <c r="F94" s="65"/>
      <c r="G94" s="65"/>
      <c r="H94" s="65"/>
      <c r="I94" s="65"/>
      <c r="J94" s="65"/>
      <c r="K94" s="65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8"/>
      <c r="X94" s="143"/>
      <c r="Y94" s="137"/>
      <c r="Z94" s="137"/>
      <c r="AA94" s="137"/>
      <c r="AB94" s="137"/>
      <c r="AC94" s="137"/>
      <c r="AD94" s="144"/>
    </row>
    <row r="95" ht="15.75" customHeight="1">
      <c r="A95" s="195"/>
      <c r="B95" s="59"/>
      <c r="C95" s="65"/>
      <c r="D95" s="59"/>
      <c r="E95" s="65"/>
      <c r="F95" s="65"/>
      <c r="G95" s="65"/>
      <c r="H95" s="65"/>
      <c r="I95" s="65"/>
      <c r="J95" s="65"/>
      <c r="K95" s="65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8"/>
      <c r="X95" s="143"/>
      <c r="Y95" s="137"/>
      <c r="Z95" s="137"/>
      <c r="AA95" s="137"/>
      <c r="AB95" s="137"/>
      <c r="AC95" s="137"/>
      <c r="AD95" s="144"/>
    </row>
    <row r="96" ht="15.75" customHeight="1">
      <c r="A96" s="195"/>
      <c r="B96" s="59"/>
      <c r="C96" s="59"/>
      <c r="D96" s="59"/>
      <c r="E96" s="65"/>
      <c r="F96" s="65"/>
      <c r="G96" s="65"/>
      <c r="H96" s="65"/>
      <c r="I96" s="65"/>
      <c r="J96" s="65"/>
      <c r="K96" s="65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8"/>
      <c r="X96" s="143"/>
      <c r="Y96" s="137"/>
      <c r="Z96" s="137"/>
      <c r="AA96" s="137"/>
      <c r="AB96" s="137"/>
      <c r="AC96" s="137"/>
      <c r="AD96" s="144"/>
    </row>
    <row r="97" ht="15.75" customHeight="1">
      <c r="B97" s="211"/>
      <c r="D97" s="211"/>
      <c r="E97" s="65"/>
      <c r="F97" s="65"/>
      <c r="G97" s="65"/>
      <c r="H97" s="65"/>
      <c r="I97" s="65"/>
      <c r="J97" s="65"/>
      <c r="K97" s="65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8"/>
      <c r="X97" s="143"/>
      <c r="Y97" s="137"/>
      <c r="Z97" s="137"/>
      <c r="AA97" s="137"/>
      <c r="AB97" s="137"/>
      <c r="AC97" s="137"/>
      <c r="AD97" s="144"/>
    </row>
    <row r="98" ht="15.75" customHeight="1">
      <c r="B98" s="211"/>
      <c r="D98" s="211"/>
      <c r="E98" s="65"/>
      <c r="F98" s="65"/>
      <c r="G98" s="65"/>
      <c r="H98" s="65"/>
      <c r="I98" s="65"/>
      <c r="J98" s="65"/>
      <c r="K98" s="65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8"/>
      <c r="X98" s="143"/>
      <c r="Y98" s="137"/>
      <c r="Z98" s="137"/>
      <c r="AA98" s="137"/>
      <c r="AB98" s="137"/>
      <c r="AC98" s="137"/>
      <c r="AD98" s="144"/>
    </row>
    <row r="99" ht="15.75" customHeight="1">
      <c r="B99" s="211"/>
      <c r="D99" s="211"/>
      <c r="E99" s="65"/>
      <c r="F99" s="65"/>
      <c r="G99" s="65"/>
      <c r="H99" s="65"/>
      <c r="I99" s="65"/>
      <c r="J99" s="65"/>
      <c r="K99" s="65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8"/>
      <c r="X99" s="143"/>
      <c r="Y99" s="137"/>
      <c r="Z99" s="137"/>
      <c r="AA99" s="137"/>
      <c r="AB99" s="137"/>
      <c r="AC99" s="137"/>
      <c r="AD99" s="144"/>
    </row>
    <row r="100" ht="15.75" customHeight="1">
      <c r="B100" s="211"/>
      <c r="D100" s="211"/>
      <c r="E100" s="65"/>
      <c r="F100" s="65"/>
      <c r="G100" s="65"/>
      <c r="H100" s="65"/>
      <c r="I100" s="65"/>
      <c r="J100" s="65"/>
      <c r="K100" s="65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8"/>
      <c r="X100" s="143"/>
      <c r="Y100" s="137"/>
      <c r="Z100" s="137"/>
      <c r="AA100" s="137"/>
      <c r="AB100" s="137"/>
      <c r="AC100" s="137"/>
      <c r="AD100" s="144"/>
    </row>
    <row r="101" ht="15.75" customHeight="1">
      <c r="B101" s="211"/>
      <c r="D101" s="211"/>
      <c r="E101" s="65"/>
      <c r="F101" s="65"/>
      <c r="G101" s="65"/>
      <c r="H101" s="65"/>
      <c r="I101" s="65"/>
      <c r="J101" s="65"/>
      <c r="K101" s="65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8"/>
      <c r="X101" s="143"/>
      <c r="Y101" s="137"/>
      <c r="Z101" s="137"/>
      <c r="AA101" s="137"/>
      <c r="AB101" s="137"/>
      <c r="AC101" s="137"/>
      <c r="AD101" s="144"/>
    </row>
    <row r="102" ht="15.75" customHeight="1">
      <c r="B102" s="211"/>
      <c r="D102" s="211"/>
      <c r="E102" s="65"/>
      <c r="F102" s="65"/>
      <c r="G102" s="65"/>
      <c r="H102" s="65"/>
      <c r="I102" s="65"/>
      <c r="J102" s="65"/>
      <c r="K102" s="65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8"/>
      <c r="X102" s="143"/>
      <c r="Y102" s="137"/>
      <c r="Z102" s="137"/>
      <c r="AA102" s="137"/>
      <c r="AB102" s="137"/>
      <c r="AC102" s="137"/>
      <c r="AD102" s="144"/>
    </row>
    <row r="103" ht="15.75" customHeight="1">
      <c r="B103" s="211"/>
      <c r="D103" s="211"/>
      <c r="E103" s="65"/>
      <c r="F103" s="65"/>
      <c r="G103" s="65"/>
      <c r="H103" s="65"/>
      <c r="I103" s="65"/>
      <c r="J103" s="65"/>
      <c r="K103" s="65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8"/>
      <c r="X103" s="143"/>
      <c r="Y103" s="137"/>
      <c r="Z103" s="137"/>
      <c r="AA103" s="137"/>
      <c r="AB103" s="137"/>
      <c r="AC103" s="137"/>
      <c r="AD103" s="144"/>
    </row>
    <row r="104" ht="15.75" customHeight="1">
      <c r="B104" s="211"/>
      <c r="D104" s="211"/>
      <c r="E104" s="65"/>
      <c r="F104" s="65"/>
      <c r="G104" s="65"/>
      <c r="H104" s="65"/>
      <c r="I104" s="65"/>
      <c r="J104" s="65"/>
      <c r="K104" s="65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8"/>
      <c r="X104" s="225"/>
      <c r="Y104" s="156"/>
      <c r="Z104" s="156"/>
      <c r="AA104" s="156"/>
      <c r="AB104" s="156"/>
      <c r="AC104" s="156"/>
      <c r="AD104" s="226"/>
    </row>
    <row r="105" ht="15.75" customHeight="1">
      <c r="B105" s="211"/>
      <c r="D105" s="211"/>
      <c r="E105" s="65"/>
      <c r="F105" s="65"/>
      <c r="G105" s="65"/>
      <c r="H105" s="65"/>
      <c r="I105" s="65"/>
      <c r="J105" s="65"/>
      <c r="K105" s="65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8"/>
      <c r="X105" s="227" t="s">
        <v>236</v>
      </c>
      <c r="Y105" s="228"/>
      <c r="Z105" s="229"/>
      <c r="AA105" s="230">
        <f t="shared" ref="AA105:AD105" si="33">SUM(AA3:AA104)</f>
        <v>24530</v>
      </c>
      <c r="AB105" s="230">
        <f t="shared" si="33"/>
        <v>1276</v>
      </c>
      <c r="AC105" s="230">
        <f t="shared" si="33"/>
        <v>24777</v>
      </c>
      <c r="AD105" s="230">
        <f t="shared" si="33"/>
        <v>0</v>
      </c>
    </row>
    <row r="106" ht="15.75" customHeight="1">
      <c r="A106" s="65"/>
      <c r="B106" s="59"/>
      <c r="C106" s="217"/>
      <c r="D106" s="59"/>
      <c r="E106" s="65"/>
      <c r="F106" s="65"/>
      <c r="G106" s="65"/>
      <c r="H106" s="65"/>
      <c r="I106" s="65"/>
      <c r="J106" s="65"/>
      <c r="K106" s="65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8"/>
    </row>
    <row r="107" ht="15.75" customHeight="1">
      <c r="A107" s="65"/>
      <c r="B107" s="59"/>
      <c r="C107" s="217"/>
      <c r="D107" s="59"/>
      <c r="E107" s="65"/>
      <c r="F107" s="65"/>
      <c r="G107" s="65"/>
      <c r="H107" s="65"/>
      <c r="I107" s="65"/>
      <c r="J107" s="65"/>
      <c r="K107" s="65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8"/>
    </row>
    <row r="108" ht="15.75" customHeight="1">
      <c r="A108" s="65"/>
      <c r="B108" s="59"/>
      <c r="C108" s="217"/>
      <c r="D108" s="59"/>
      <c r="E108" s="65"/>
      <c r="F108" s="65"/>
      <c r="G108" s="65"/>
      <c r="H108" s="65"/>
      <c r="I108" s="65"/>
      <c r="J108" s="65"/>
      <c r="K108" s="65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8"/>
    </row>
    <row r="109" ht="15.75" customHeight="1">
      <c r="A109" s="65"/>
      <c r="B109" s="59"/>
      <c r="C109" s="218"/>
      <c r="D109" s="59"/>
      <c r="E109" s="65"/>
      <c r="F109" s="65"/>
      <c r="G109" s="65"/>
      <c r="H109" s="65"/>
      <c r="I109" s="65"/>
      <c r="J109" s="65"/>
      <c r="K109" s="65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8"/>
    </row>
    <row r="110" ht="15.75" customHeight="1">
      <c r="A110" s="65"/>
      <c r="B110" s="59"/>
      <c r="C110" s="219"/>
      <c r="D110" s="59"/>
      <c r="E110" s="65"/>
      <c r="F110" s="65"/>
      <c r="G110" s="65"/>
      <c r="H110" s="65"/>
      <c r="I110" s="65"/>
      <c r="J110" s="65"/>
      <c r="K110" s="65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8"/>
    </row>
    <row r="111" ht="15.75" customHeight="1">
      <c r="A111" s="65"/>
      <c r="B111" s="59"/>
      <c r="C111" s="218"/>
      <c r="D111" s="59"/>
      <c r="E111" s="65"/>
      <c r="F111" s="65"/>
      <c r="G111" s="65"/>
      <c r="H111" s="65"/>
      <c r="I111" s="65"/>
      <c r="J111" s="65"/>
      <c r="K111" s="65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8"/>
    </row>
    <row r="112" ht="15.75" customHeight="1">
      <c r="A112" s="65"/>
      <c r="B112" s="59"/>
      <c r="C112" s="220"/>
      <c r="D112" s="59"/>
      <c r="E112" s="65"/>
      <c r="F112" s="65"/>
      <c r="G112" s="65"/>
      <c r="H112" s="65"/>
      <c r="I112" s="65"/>
      <c r="J112" s="65"/>
      <c r="K112" s="65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8"/>
    </row>
    <row r="113" ht="15.75" customHeight="1">
      <c r="A113" s="65"/>
      <c r="B113" s="59"/>
      <c r="C113" s="65"/>
      <c r="D113" s="59"/>
      <c r="E113" s="65"/>
      <c r="F113" s="65"/>
      <c r="G113" s="65"/>
      <c r="H113" s="65"/>
      <c r="I113" s="65"/>
      <c r="J113" s="65"/>
      <c r="K113" s="65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8"/>
    </row>
    <row r="114" ht="15.75" customHeight="1">
      <c r="A114" s="65"/>
      <c r="B114" s="59"/>
      <c r="C114" s="207"/>
      <c r="D114" s="59"/>
      <c r="E114" s="65"/>
      <c r="F114" s="65"/>
      <c r="G114" s="65"/>
      <c r="H114" s="65"/>
      <c r="I114" s="65"/>
      <c r="J114" s="65"/>
      <c r="K114" s="65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8"/>
    </row>
    <row r="115" ht="15.75" customHeight="1">
      <c r="A115" s="65"/>
      <c r="B115" s="59"/>
      <c r="C115" s="207"/>
      <c r="D115" s="59"/>
      <c r="E115" s="65"/>
      <c r="F115" s="65"/>
      <c r="G115" s="65"/>
      <c r="H115" s="65"/>
      <c r="I115" s="65"/>
      <c r="J115" s="65"/>
      <c r="K115" s="65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8"/>
    </row>
    <row r="116" ht="15.75" customHeight="1">
      <c r="A116" s="65"/>
      <c r="B116" s="59"/>
      <c r="C116" s="207"/>
      <c r="D116" s="59"/>
      <c r="E116" s="65"/>
      <c r="F116" s="65"/>
      <c r="G116" s="65"/>
      <c r="H116" s="65"/>
      <c r="I116" s="65"/>
      <c r="J116" s="65"/>
      <c r="K116" s="65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8"/>
    </row>
    <row r="117" ht="15.75" customHeight="1">
      <c r="A117" s="65"/>
      <c r="B117" s="59"/>
      <c r="C117" s="207"/>
      <c r="D117" s="59"/>
      <c r="E117" s="65"/>
      <c r="F117" s="65"/>
      <c r="G117" s="65"/>
      <c r="H117" s="65"/>
      <c r="I117" s="65"/>
      <c r="J117" s="65"/>
      <c r="K117" s="65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8"/>
    </row>
    <row r="118" ht="15.75" customHeight="1">
      <c r="A118" s="65"/>
      <c r="B118" s="59"/>
      <c r="C118" s="207"/>
      <c r="D118" s="59"/>
      <c r="E118" s="65"/>
      <c r="F118" s="65"/>
      <c r="G118" s="65"/>
      <c r="H118" s="65"/>
      <c r="I118" s="65"/>
      <c r="J118" s="65"/>
      <c r="K118" s="65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8"/>
    </row>
    <row r="119" ht="15.75" customHeight="1">
      <c r="A119" s="65"/>
      <c r="B119" s="59"/>
      <c r="C119" s="207"/>
      <c r="D119" s="59"/>
      <c r="E119" s="65"/>
      <c r="F119" s="65"/>
      <c r="G119" s="65"/>
      <c r="H119" s="65"/>
      <c r="I119" s="65"/>
      <c r="J119" s="65"/>
      <c r="K119" s="65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8"/>
    </row>
    <row r="120" ht="15.75" customHeight="1">
      <c r="A120" s="65"/>
      <c r="B120" s="59"/>
      <c r="C120" s="207"/>
      <c r="D120" s="59"/>
      <c r="E120" s="65"/>
      <c r="F120" s="65"/>
      <c r="G120" s="65"/>
      <c r="H120" s="65"/>
      <c r="I120" s="65"/>
      <c r="J120" s="65"/>
      <c r="K120" s="65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8"/>
    </row>
    <row r="121" ht="15.75" customHeight="1">
      <c r="A121" s="65"/>
      <c r="B121" s="59"/>
      <c r="C121" s="207"/>
      <c r="D121" s="59"/>
      <c r="E121" s="65"/>
      <c r="F121" s="65"/>
      <c r="G121" s="65"/>
      <c r="H121" s="65"/>
      <c r="I121" s="65"/>
      <c r="J121" s="65"/>
      <c r="K121" s="65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8"/>
    </row>
    <row r="122" ht="15.75" customHeight="1">
      <c r="A122" s="65"/>
      <c r="B122" s="59"/>
      <c r="C122" s="207"/>
      <c r="D122" s="59"/>
      <c r="E122" s="65"/>
      <c r="F122" s="65"/>
      <c r="G122" s="65"/>
      <c r="H122" s="65"/>
      <c r="I122" s="65"/>
      <c r="J122" s="65"/>
      <c r="K122" s="65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8"/>
    </row>
    <row r="123" ht="15.75" customHeight="1">
      <c r="A123" s="65"/>
      <c r="B123" s="59"/>
      <c r="C123" s="207"/>
      <c r="D123" s="59"/>
      <c r="E123" s="65"/>
      <c r="F123" s="65"/>
      <c r="G123" s="65"/>
      <c r="H123" s="65"/>
      <c r="I123" s="65"/>
      <c r="J123" s="65"/>
      <c r="K123" s="65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8"/>
    </row>
    <row r="124" ht="15.75" customHeight="1">
      <c r="A124" s="65"/>
      <c r="B124" s="59"/>
      <c r="C124" s="207"/>
      <c r="D124" s="59"/>
      <c r="E124" s="65"/>
      <c r="F124" s="65"/>
      <c r="G124" s="65"/>
      <c r="H124" s="65"/>
      <c r="I124" s="65"/>
      <c r="J124" s="65"/>
      <c r="K124" s="65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8"/>
    </row>
    <row r="125" ht="15.75" customHeight="1">
      <c r="A125" s="65"/>
      <c r="B125" s="59"/>
      <c r="C125" s="207"/>
      <c r="D125" s="59"/>
      <c r="E125" s="65"/>
      <c r="F125" s="65"/>
      <c r="G125" s="65"/>
      <c r="H125" s="65"/>
      <c r="I125" s="65"/>
      <c r="J125" s="65"/>
      <c r="K125" s="65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8"/>
    </row>
    <row r="126" ht="15.75" customHeight="1">
      <c r="A126" s="65"/>
      <c r="B126" s="59"/>
      <c r="C126" s="207"/>
      <c r="D126" s="59"/>
      <c r="E126" s="65"/>
      <c r="F126" s="65"/>
      <c r="G126" s="65"/>
      <c r="H126" s="65"/>
      <c r="I126" s="65"/>
      <c r="J126" s="65"/>
      <c r="K126" s="65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8"/>
    </row>
    <row r="127" ht="15.75" customHeight="1">
      <c r="A127" s="65"/>
      <c r="B127" s="59"/>
      <c r="C127" s="207"/>
      <c r="D127" s="59"/>
      <c r="E127" s="65"/>
      <c r="F127" s="65"/>
      <c r="G127" s="65"/>
      <c r="H127" s="65"/>
      <c r="I127" s="65"/>
      <c r="J127" s="65"/>
      <c r="K127" s="65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8"/>
    </row>
    <row r="128" ht="15.75" customHeight="1">
      <c r="A128" s="65"/>
      <c r="B128" s="59"/>
      <c r="C128" s="207"/>
      <c r="D128" s="59"/>
      <c r="E128" s="65"/>
      <c r="F128" s="65"/>
      <c r="G128" s="65"/>
      <c r="H128" s="65"/>
      <c r="I128" s="65"/>
      <c r="J128" s="65"/>
      <c r="K128" s="65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8"/>
    </row>
    <row r="129" ht="15.75" customHeight="1">
      <c r="A129" s="65"/>
      <c r="B129" s="59"/>
      <c r="C129" s="207"/>
      <c r="D129" s="59"/>
      <c r="E129" s="65"/>
      <c r="F129" s="65"/>
      <c r="G129" s="65"/>
      <c r="H129" s="65"/>
      <c r="I129" s="65"/>
      <c r="J129" s="65"/>
      <c r="K129" s="65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8"/>
    </row>
    <row r="130" ht="15.75" customHeight="1">
      <c r="A130" s="65"/>
      <c r="B130" s="59"/>
      <c r="C130" s="207"/>
      <c r="D130" s="59"/>
      <c r="E130" s="65"/>
      <c r="F130" s="65"/>
      <c r="G130" s="65"/>
      <c r="H130" s="65"/>
      <c r="I130" s="65"/>
      <c r="J130" s="65"/>
      <c r="K130" s="65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8"/>
    </row>
    <row r="131" ht="15.75" customHeight="1">
      <c r="A131" s="65"/>
      <c r="B131" s="59"/>
      <c r="C131" s="207"/>
      <c r="D131" s="59"/>
      <c r="E131" s="65"/>
      <c r="F131" s="65"/>
      <c r="G131" s="65"/>
      <c r="H131" s="65"/>
      <c r="I131" s="65"/>
      <c r="J131" s="65"/>
      <c r="K131" s="65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8"/>
    </row>
    <row r="132" ht="15.75" customHeight="1">
      <c r="A132" s="65"/>
      <c r="B132" s="59"/>
      <c r="C132" s="207"/>
      <c r="D132" s="59"/>
      <c r="E132" s="65"/>
      <c r="F132" s="65"/>
      <c r="G132" s="65"/>
      <c r="H132" s="65"/>
      <c r="I132" s="65"/>
      <c r="J132" s="65"/>
      <c r="K132" s="65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8"/>
    </row>
    <row r="133" ht="15.75" customHeight="1">
      <c r="A133" s="65"/>
      <c r="B133" s="59"/>
      <c r="C133" s="207"/>
      <c r="D133" s="59"/>
      <c r="E133" s="65"/>
      <c r="F133" s="65"/>
      <c r="G133" s="65"/>
      <c r="H133" s="65"/>
      <c r="I133" s="65"/>
      <c r="J133" s="65"/>
      <c r="K133" s="65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8"/>
    </row>
    <row r="134" ht="15.75" customHeight="1">
      <c r="A134" s="65"/>
      <c r="B134" s="59"/>
      <c r="C134" s="207"/>
      <c r="D134" s="59"/>
      <c r="E134" s="65"/>
      <c r="F134" s="65"/>
      <c r="G134" s="65"/>
      <c r="H134" s="65"/>
      <c r="I134" s="65"/>
      <c r="J134" s="65"/>
      <c r="K134" s="65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8"/>
    </row>
    <row r="135" ht="15.75" customHeight="1">
      <c r="A135" s="65"/>
      <c r="B135" s="59"/>
      <c r="C135" s="207"/>
      <c r="D135" s="59"/>
      <c r="E135" s="65"/>
      <c r="F135" s="65"/>
      <c r="G135" s="65"/>
      <c r="H135" s="65"/>
      <c r="I135" s="65"/>
      <c r="J135" s="65"/>
      <c r="K135" s="65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8"/>
    </row>
    <row r="136" ht="15.75" customHeight="1">
      <c r="A136" s="65"/>
      <c r="B136" s="59"/>
      <c r="C136" s="207"/>
      <c r="D136" s="59"/>
      <c r="E136" s="65"/>
      <c r="F136" s="65"/>
      <c r="G136" s="65"/>
      <c r="H136" s="65"/>
      <c r="I136" s="65"/>
      <c r="J136" s="65"/>
      <c r="K136" s="65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8"/>
    </row>
    <row r="137" ht="15.75" customHeight="1">
      <c r="A137" s="65"/>
      <c r="B137" s="59"/>
      <c r="C137" s="207"/>
      <c r="D137" s="59"/>
      <c r="E137" s="65"/>
      <c r="F137" s="65"/>
      <c r="G137" s="65"/>
      <c r="H137" s="65"/>
      <c r="I137" s="65"/>
      <c r="J137" s="65"/>
      <c r="K137" s="65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8"/>
    </row>
    <row r="138" ht="15.75" customHeight="1">
      <c r="A138" s="65"/>
      <c r="B138" s="59"/>
      <c r="C138" s="207"/>
      <c r="D138" s="59"/>
      <c r="E138" s="65"/>
      <c r="F138" s="65"/>
      <c r="G138" s="65"/>
      <c r="H138" s="65"/>
      <c r="I138" s="65"/>
      <c r="J138" s="65"/>
      <c r="K138" s="65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8"/>
    </row>
    <row r="139" ht="15.75" customHeight="1">
      <c r="A139" s="65"/>
      <c r="B139" s="59"/>
      <c r="C139" s="207"/>
      <c r="D139" s="59"/>
      <c r="E139" s="65"/>
      <c r="F139" s="65"/>
      <c r="G139" s="65"/>
      <c r="H139" s="65"/>
      <c r="I139" s="65"/>
      <c r="J139" s="65"/>
      <c r="K139" s="65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8"/>
    </row>
    <row r="140" ht="15.75" customHeight="1">
      <c r="A140" s="65"/>
      <c r="B140" s="59"/>
      <c r="C140" s="207"/>
      <c r="D140" s="59"/>
      <c r="E140" s="65"/>
      <c r="F140" s="65"/>
      <c r="G140" s="65"/>
      <c r="H140" s="65"/>
      <c r="I140" s="65"/>
      <c r="J140" s="65"/>
      <c r="K140" s="65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8"/>
    </row>
    <row r="141" ht="15.75" customHeight="1">
      <c r="A141" s="65"/>
      <c r="B141" s="59"/>
      <c r="C141" s="207"/>
      <c r="D141" s="59"/>
      <c r="E141" s="65"/>
      <c r="F141" s="65"/>
      <c r="G141" s="65"/>
      <c r="H141" s="65"/>
      <c r="I141" s="65"/>
      <c r="J141" s="65"/>
      <c r="K141" s="65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8"/>
    </row>
    <row r="142" ht="15.75" customHeight="1">
      <c r="A142" s="65"/>
      <c r="B142" s="59"/>
      <c r="C142" s="207"/>
      <c r="D142" s="59"/>
      <c r="E142" s="65"/>
      <c r="F142" s="65"/>
      <c r="G142" s="65"/>
      <c r="H142" s="65"/>
      <c r="I142" s="65"/>
      <c r="J142" s="65"/>
      <c r="K142" s="65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8"/>
    </row>
    <row r="143" ht="15.75" customHeight="1">
      <c r="A143" s="65"/>
      <c r="B143" s="59"/>
      <c r="C143" s="207"/>
      <c r="D143" s="59"/>
      <c r="E143" s="65"/>
      <c r="F143" s="65"/>
      <c r="G143" s="65"/>
      <c r="H143" s="65"/>
      <c r="I143" s="65"/>
      <c r="J143" s="65"/>
      <c r="K143" s="65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8"/>
    </row>
    <row r="144" ht="15.75" customHeight="1">
      <c r="A144" s="65"/>
      <c r="B144" s="59"/>
      <c r="C144" s="207"/>
      <c r="D144" s="59"/>
      <c r="E144" s="65"/>
      <c r="F144" s="65"/>
      <c r="G144" s="65"/>
      <c r="H144" s="65"/>
      <c r="I144" s="65"/>
      <c r="J144" s="65"/>
      <c r="K144" s="65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8"/>
    </row>
    <row r="145" ht="15.75" customHeight="1">
      <c r="A145" s="65"/>
      <c r="B145" s="59"/>
      <c r="C145" s="65"/>
      <c r="D145" s="59"/>
      <c r="E145" s="65"/>
      <c r="F145" s="65"/>
      <c r="G145" s="65"/>
      <c r="H145" s="65"/>
      <c r="I145" s="65"/>
      <c r="J145" s="65"/>
      <c r="K145" s="65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8"/>
    </row>
    <row r="146" ht="15.75" customHeight="1">
      <c r="A146" s="65"/>
      <c r="B146" s="59"/>
      <c r="C146" s="217"/>
      <c r="D146" s="59"/>
      <c r="E146" s="65"/>
      <c r="F146" s="65"/>
      <c r="G146" s="65"/>
      <c r="H146" s="65"/>
      <c r="I146" s="65"/>
      <c r="J146" s="65"/>
      <c r="K146" s="65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8"/>
    </row>
    <row r="147" ht="15.75" customHeight="1">
      <c r="A147" s="65"/>
      <c r="B147" s="59"/>
      <c r="C147" s="217"/>
      <c r="D147" s="59"/>
      <c r="E147" s="65"/>
      <c r="F147" s="65"/>
      <c r="G147" s="65"/>
      <c r="H147" s="65"/>
      <c r="I147" s="65"/>
      <c r="J147" s="65"/>
      <c r="K147" s="65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8"/>
    </row>
    <row r="148" ht="15.75" customHeight="1">
      <c r="A148" s="65"/>
      <c r="B148" s="59"/>
      <c r="C148" s="217"/>
      <c r="D148" s="59"/>
      <c r="E148" s="65"/>
      <c r="F148" s="65"/>
      <c r="G148" s="65"/>
      <c r="H148" s="65"/>
      <c r="I148" s="65"/>
      <c r="J148" s="65"/>
      <c r="K148" s="65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8"/>
    </row>
    <row r="149" ht="15.75" customHeight="1">
      <c r="A149" s="65"/>
      <c r="B149" s="59"/>
      <c r="C149" s="217"/>
      <c r="D149" s="59"/>
      <c r="E149" s="65"/>
      <c r="F149" s="65"/>
      <c r="G149" s="65"/>
      <c r="H149" s="65"/>
      <c r="I149" s="65"/>
      <c r="J149" s="65"/>
      <c r="K149" s="65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8"/>
    </row>
    <row r="150" ht="15.75" customHeight="1">
      <c r="A150" s="65"/>
      <c r="B150" s="59"/>
      <c r="C150" s="217"/>
      <c r="D150" s="59"/>
      <c r="E150" s="65"/>
      <c r="F150" s="65"/>
      <c r="G150" s="65"/>
      <c r="H150" s="65"/>
      <c r="I150" s="65"/>
      <c r="J150" s="65"/>
      <c r="K150" s="65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8"/>
    </row>
    <row r="151" ht="15.75" customHeight="1">
      <c r="A151" s="65"/>
      <c r="B151" s="59"/>
      <c r="C151" s="218"/>
      <c r="D151" s="59"/>
      <c r="E151" s="65"/>
      <c r="F151" s="65"/>
      <c r="G151" s="65"/>
      <c r="H151" s="65"/>
      <c r="I151" s="65"/>
      <c r="J151" s="65"/>
      <c r="K151" s="65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8"/>
    </row>
    <row r="152" ht="15.75" customHeight="1">
      <c r="A152" s="65"/>
      <c r="B152" s="59"/>
      <c r="C152" s="219"/>
      <c r="D152" s="59"/>
      <c r="E152" s="65"/>
      <c r="F152" s="65"/>
      <c r="G152" s="65"/>
      <c r="H152" s="65"/>
      <c r="I152" s="65"/>
      <c r="J152" s="65"/>
      <c r="K152" s="65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8"/>
    </row>
    <row r="153" ht="15.75" customHeight="1">
      <c r="A153" s="65"/>
      <c r="B153" s="59"/>
      <c r="C153" s="218"/>
      <c r="D153" s="59"/>
      <c r="E153" s="65"/>
      <c r="F153" s="65"/>
      <c r="G153" s="65"/>
      <c r="H153" s="65"/>
      <c r="I153" s="65"/>
      <c r="J153" s="65"/>
      <c r="K153" s="65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8"/>
    </row>
    <row r="154" ht="15.75" customHeight="1">
      <c r="A154" s="65"/>
      <c r="B154" s="59"/>
      <c r="C154" s="220"/>
      <c r="D154" s="59"/>
      <c r="E154" s="65"/>
      <c r="F154" s="65"/>
      <c r="G154" s="65"/>
      <c r="H154" s="65"/>
      <c r="I154" s="65"/>
      <c r="J154" s="65"/>
      <c r="K154" s="65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8"/>
    </row>
    <row r="155" ht="15.75" customHeight="1">
      <c r="A155" s="65"/>
      <c r="B155" s="59"/>
      <c r="C155" s="65"/>
      <c r="D155" s="59"/>
      <c r="E155" s="65"/>
      <c r="F155" s="65"/>
      <c r="G155" s="65"/>
      <c r="H155" s="65"/>
      <c r="I155" s="65"/>
      <c r="J155" s="65"/>
      <c r="K155" s="65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8"/>
    </row>
    <row r="156" ht="15.75" customHeight="1">
      <c r="A156" s="65"/>
      <c r="B156" s="59"/>
      <c r="C156" s="207"/>
      <c r="D156" s="59"/>
      <c r="E156" s="65"/>
      <c r="F156" s="65"/>
      <c r="G156" s="65"/>
      <c r="H156" s="65"/>
      <c r="I156" s="65"/>
      <c r="J156" s="65"/>
      <c r="K156" s="65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8"/>
    </row>
    <row r="157" ht="15.75" customHeight="1">
      <c r="A157" s="65"/>
      <c r="B157" s="59"/>
      <c r="C157" s="207"/>
      <c r="D157" s="59"/>
      <c r="E157" s="65"/>
      <c r="F157" s="65"/>
      <c r="G157" s="65"/>
      <c r="H157" s="65"/>
      <c r="I157" s="65"/>
      <c r="J157" s="65"/>
      <c r="K157" s="65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8"/>
    </row>
    <row r="158" ht="15.75" customHeight="1">
      <c r="A158" s="65"/>
      <c r="B158" s="59"/>
      <c r="C158" s="207"/>
      <c r="D158" s="59"/>
      <c r="E158" s="65"/>
      <c r="F158" s="65"/>
      <c r="G158" s="65"/>
      <c r="H158" s="65"/>
      <c r="I158" s="65"/>
      <c r="J158" s="65"/>
      <c r="K158" s="65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8"/>
    </row>
    <row r="159" ht="15.75" customHeight="1">
      <c r="A159" s="65"/>
      <c r="B159" s="59"/>
      <c r="C159" s="207"/>
      <c r="D159" s="59"/>
      <c r="E159" s="65"/>
      <c r="F159" s="65"/>
      <c r="G159" s="65"/>
      <c r="H159" s="65"/>
      <c r="I159" s="65"/>
      <c r="J159" s="65"/>
      <c r="K159" s="65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8"/>
    </row>
    <row r="160" ht="15.75" customHeight="1">
      <c r="A160" s="65"/>
      <c r="B160" s="59"/>
      <c r="C160" s="207"/>
      <c r="D160" s="59"/>
      <c r="E160" s="65"/>
      <c r="F160" s="65"/>
      <c r="G160" s="65"/>
      <c r="H160" s="65"/>
      <c r="I160" s="65"/>
      <c r="J160" s="65"/>
      <c r="K160" s="65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8"/>
    </row>
    <row r="161" ht="15.75" customHeight="1">
      <c r="A161" s="65"/>
      <c r="B161" s="59"/>
      <c r="C161" s="207"/>
      <c r="D161" s="59"/>
      <c r="E161" s="65"/>
      <c r="F161" s="65"/>
      <c r="G161" s="65"/>
      <c r="H161" s="65"/>
      <c r="I161" s="65"/>
      <c r="J161" s="65"/>
      <c r="K161" s="65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8"/>
    </row>
    <row r="162" ht="15.75" customHeight="1">
      <c r="A162" s="65"/>
      <c r="B162" s="59"/>
      <c r="C162" s="207"/>
      <c r="D162" s="59"/>
      <c r="E162" s="65"/>
      <c r="F162" s="65"/>
      <c r="G162" s="65"/>
      <c r="H162" s="65"/>
      <c r="I162" s="65"/>
      <c r="J162" s="65"/>
      <c r="K162" s="65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8"/>
    </row>
    <row r="163" ht="15.75" customHeight="1">
      <c r="A163" s="65"/>
      <c r="B163" s="59"/>
      <c r="C163" s="207"/>
      <c r="D163" s="59"/>
      <c r="E163" s="65"/>
      <c r="F163" s="65"/>
      <c r="G163" s="65"/>
      <c r="H163" s="65"/>
      <c r="I163" s="65"/>
      <c r="J163" s="65"/>
      <c r="K163" s="65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8"/>
    </row>
    <row r="164" ht="15.75" customHeight="1">
      <c r="A164" s="65"/>
      <c r="B164" s="59"/>
      <c r="C164" s="207"/>
      <c r="D164" s="59"/>
      <c r="E164" s="65"/>
      <c r="F164" s="65"/>
      <c r="G164" s="65"/>
      <c r="H164" s="65"/>
      <c r="I164" s="65"/>
      <c r="J164" s="65"/>
      <c r="K164" s="65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8"/>
    </row>
    <row r="165" ht="15.75" customHeight="1">
      <c r="A165" s="65"/>
      <c r="B165" s="59"/>
      <c r="C165" s="207"/>
      <c r="D165" s="59"/>
      <c r="E165" s="65"/>
      <c r="F165" s="65"/>
      <c r="G165" s="65"/>
      <c r="H165" s="65"/>
      <c r="I165" s="65"/>
      <c r="J165" s="65"/>
      <c r="K165" s="65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8"/>
    </row>
    <row r="166" ht="15.75" customHeight="1">
      <c r="A166" s="65"/>
      <c r="B166" s="59"/>
      <c r="C166" s="207"/>
      <c r="D166" s="59"/>
      <c r="E166" s="65"/>
      <c r="F166" s="65"/>
      <c r="G166" s="65"/>
      <c r="H166" s="65"/>
      <c r="I166" s="65"/>
      <c r="J166" s="65"/>
      <c r="K166" s="65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8"/>
    </row>
    <row r="167" ht="15.75" customHeight="1">
      <c r="A167" s="65"/>
      <c r="B167" s="59"/>
      <c r="C167" s="207"/>
      <c r="D167" s="59"/>
      <c r="E167" s="65"/>
      <c r="F167" s="65"/>
      <c r="G167" s="65"/>
      <c r="H167" s="65"/>
      <c r="I167" s="65"/>
      <c r="J167" s="65"/>
      <c r="K167" s="65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8"/>
    </row>
    <row r="168" ht="15.75" customHeight="1">
      <c r="A168" s="65"/>
      <c r="B168" s="59"/>
      <c r="C168" s="207"/>
      <c r="D168" s="59"/>
      <c r="E168" s="65"/>
      <c r="F168" s="65"/>
      <c r="G168" s="65"/>
      <c r="H168" s="65"/>
      <c r="I168" s="65"/>
      <c r="J168" s="65"/>
      <c r="K168" s="65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8"/>
    </row>
    <row r="169" ht="15.75" customHeight="1">
      <c r="A169" s="65"/>
      <c r="B169" s="59"/>
      <c r="C169" s="207"/>
      <c r="D169" s="59"/>
      <c r="E169" s="65"/>
      <c r="F169" s="65"/>
      <c r="G169" s="65"/>
      <c r="H169" s="65"/>
      <c r="I169" s="65"/>
      <c r="J169" s="65"/>
      <c r="K169" s="65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8"/>
    </row>
    <row r="170" ht="15.75" customHeight="1">
      <c r="A170" s="65"/>
      <c r="B170" s="59"/>
      <c r="C170" s="207"/>
      <c r="D170" s="59"/>
      <c r="E170" s="65"/>
      <c r="F170" s="65"/>
      <c r="G170" s="65"/>
      <c r="H170" s="65"/>
      <c r="I170" s="65"/>
      <c r="J170" s="65"/>
      <c r="K170" s="65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8"/>
    </row>
    <row r="171" ht="15.75" customHeight="1">
      <c r="A171" s="65"/>
      <c r="B171" s="59"/>
      <c r="C171" s="207"/>
      <c r="D171" s="59"/>
      <c r="E171" s="65"/>
      <c r="F171" s="65"/>
      <c r="G171" s="65"/>
      <c r="H171" s="65"/>
      <c r="I171" s="65"/>
      <c r="J171" s="65"/>
      <c r="K171" s="65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8"/>
    </row>
    <row r="172" ht="15.75" customHeight="1">
      <c r="A172" s="65"/>
      <c r="B172" s="59"/>
      <c r="C172" s="207"/>
      <c r="D172" s="59"/>
      <c r="E172" s="65"/>
      <c r="F172" s="65"/>
      <c r="G172" s="65"/>
      <c r="H172" s="65"/>
      <c r="I172" s="65"/>
      <c r="J172" s="65"/>
      <c r="K172" s="65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8"/>
    </row>
    <row r="173" ht="15.75" customHeight="1">
      <c r="A173" s="65"/>
      <c r="B173" s="59"/>
      <c r="C173" s="207"/>
      <c r="D173" s="59"/>
      <c r="E173" s="65"/>
      <c r="F173" s="65"/>
      <c r="G173" s="65"/>
      <c r="H173" s="65"/>
      <c r="I173" s="65"/>
      <c r="J173" s="65"/>
      <c r="K173" s="65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8"/>
    </row>
    <row r="174" ht="15.75" customHeight="1">
      <c r="A174" s="65"/>
      <c r="B174" s="59"/>
      <c r="C174" s="207"/>
      <c r="D174" s="59"/>
      <c r="E174" s="65"/>
      <c r="F174" s="65"/>
      <c r="G174" s="65"/>
      <c r="H174" s="65"/>
      <c r="I174" s="65"/>
      <c r="J174" s="65"/>
      <c r="K174" s="65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8"/>
    </row>
    <row r="175" ht="15.75" customHeight="1">
      <c r="A175" s="65"/>
      <c r="B175" s="59"/>
      <c r="C175" s="207"/>
      <c r="D175" s="59"/>
      <c r="E175" s="65"/>
      <c r="F175" s="65"/>
      <c r="G175" s="65"/>
      <c r="H175" s="65"/>
      <c r="I175" s="65"/>
      <c r="J175" s="65"/>
      <c r="K175" s="65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8"/>
    </row>
    <row r="176" ht="15.75" customHeight="1">
      <c r="A176" s="65"/>
      <c r="B176" s="59"/>
      <c r="C176" s="207"/>
      <c r="D176" s="59"/>
      <c r="E176" s="65"/>
      <c r="F176" s="65"/>
      <c r="G176" s="65"/>
      <c r="H176" s="65"/>
      <c r="I176" s="65"/>
      <c r="J176" s="65"/>
      <c r="K176" s="65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8"/>
    </row>
    <row r="177" ht="15.75" customHeight="1">
      <c r="A177" s="65"/>
      <c r="B177" s="59"/>
      <c r="C177" s="207"/>
      <c r="D177" s="59"/>
      <c r="E177" s="65"/>
      <c r="F177" s="65"/>
      <c r="G177" s="65"/>
      <c r="H177" s="65"/>
      <c r="I177" s="65"/>
      <c r="J177" s="65"/>
      <c r="K177" s="65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8"/>
    </row>
    <row r="178" ht="15.75" customHeight="1">
      <c r="A178" s="65"/>
      <c r="B178" s="59"/>
      <c r="C178" s="207"/>
      <c r="D178" s="59"/>
      <c r="E178" s="65"/>
      <c r="F178" s="65"/>
      <c r="G178" s="65"/>
      <c r="H178" s="65"/>
      <c r="I178" s="65"/>
      <c r="J178" s="65"/>
      <c r="K178" s="65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8"/>
    </row>
    <row r="179" ht="15.75" customHeight="1">
      <c r="A179" s="65"/>
      <c r="B179" s="59"/>
      <c r="C179" s="207"/>
      <c r="D179" s="59"/>
      <c r="E179" s="65"/>
      <c r="F179" s="65"/>
      <c r="G179" s="65"/>
      <c r="H179" s="65"/>
      <c r="I179" s="65"/>
      <c r="J179" s="65"/>
      <c r="K179" s="65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8"/>
    </row>
    <row r="180" ht="15.75" customHeight="1">
      <c r="A180" s="65"/>
      <c r="B180" s="59"/>
      <c r="C180" s="207"/>
      <c r="D180" s="59"/>
      <c r="E180" s="65"/>
      <c r="F180" s="65"/>
      <c r="G180" s="65"/>
      <c r="H180" s="65"/>
      <c r="I180" s="65"/>
      <c r="J180" s="65"/>
      <c r="K180" s="65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8"/>
    </row>
    <row r="181" ht="15.75" customHeight="1">
      <c r="A181" s="65"/>
      <c r="B181" s="59"/>
      <c r="C181" s="207"/>
      <c r="D181" s="59"/>
      <c r="E181" s="65"/>
      <c r="F181" s="65"/>
      <c r="G181" s="65"/>
      <c r="H181" s="65"/>
      <c r="I181" s="65"/>
      <c r="J181" s="65"/>
      <c r="K181" s="65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8"/>
    </row>
    <row r="182" ht="15.75" customHeight="1">
      <c r="A182" s="65"/>
      <c r="B182" s="59"/>
      <c r="C182" s="207"/>
      <c r="D182" s="59"/>
      <c r="E182" s="65"/>
      <c r="F182" s="65"/>
      <c r="G182" s="65"/>
      <c r="H182" s="65"/>
      <c r="I182" s="65"/>
      <c r="J182" s="65"/>
      <c r="K182" s="65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8"/>
    </row>
    <row r="183" ht="15.75" customHeight="1">
      <c r="A183" s="65"/>
      <c r="B183" s="59"/>
      <c r="C183" s="207"/>
      <c r="D183" s="59"/>
      <c r="E183" s="65"/>
      <c r="F183" s="65"/>
      <c r="G183" s="65"/>
      <c r="H183" s="65"/>
      <c r="I183" s="65"/>
      <c r="J183" s="65"/>
      <c r="K183" s="65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8"/>
    </row>
    <row r="184" ht="15.75" customHeight="1">
      <c r="A184" s="65"/>
      <c r="B184" s="59"/>
      <c r="C184" s="207"/>
      <c r="D184" s="59"/>
      <c r="E184" s="65"/>
      <c r="F184" s="65"/>
      <c r="G184" s="65"/>
      <c r="H184" s="65"/>
      <c r="I184" s="65"/>
      <c r="J184" s="65"/>
      <c r="K184" s="65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8"/>
    </row>
    <row r="185" ht="15.75" customHeight="1">
      <c r="A185" s="65"/>
      <c r="B185" s="59"/>
      <c r="C185" s="207"/>
      <c r="D185" s="59"/>
      <c r="E185" s="65"/>
      <c r="F185" s="65"/>
      <c r="G185" s="65"/>
      <c r="H185" s="65"/>
      <c r="I185" s="65"/>
      <c r="J185" s="65"/>
      <c r="K185" s="65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8"/>
    </row>
    <row r="186" ht="15.75" customHeight="1">
      <c r="A186" s="65"/>
      <c r="B186" s="59"/>
      <c r="C186" s="207"/>
      <c r="D186" s="59"/>
      <c r="E186" s="65"/>
      <c r="F186" s="65"/>
      <c r="G186" s="65"/>
      <c r="H186" s="65"/>
      <c r="I186" s="65"/>
      <c r="J186" s="65"/>
      <c r="K186" s="65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8"/>
    </row>
    <row r="187" ht="15.75" customHeight="1">
      <c r="A187" s="65"/>
      <c r="B187" s="59"/>
      <c r="C187" s="65"/>
      <c r="D187" s="59"/>
      <c r="E187" s="65"/>
      <c r="F187" s="65"/>
      <c r="G187" s="65"/>
      <c r="H187" s="65"/>
      <c r="I187" s="65"/>
      <c r="J187" s="65"/>
      <c r="K187" s="65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8"/>
    </row>
    <row r="188" ht="15.75" customHeight="1">
      <c r="A188" s="65"/>
      <c r="B188" s="59"/>
      <c r="C188" s="65"/>
      <c r="D188" s="59"/>
      <c r="E188" s="65"/>
      <c r="F188" s="65"/>
      <c r="G188" s="65"/>
      <c r="H188" s="65"/>
      <c r="I188" s="65"/>
      <c r="J188" s="65"/>
      <c r="K188" s="65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8"/>
    </row>
    <row r="189" ht="15.75" customHeight="1">
      <c r="A189" s="65"/>
      <c r="B189" s="59"/>
      <c r="C189" s="65"/>
      <c r="D189" s="59"/>
      <c r="E189" s="65"/>
      <c r="F189" s="65"/>
      <c r="G189" s="65"/>
      <c r="H189" s="65"/>
      <c r="I189" s="65"/>
      <c r="J189" s="65"/>
      <c r="K189" s="65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8"/>
    </row>
    <row r="190" ht="15.75" customHeight="1">
      <c r="A190" s="65"/>
      <c r="B190" s="59"/>
      <c r="C190" s="65"/>
      <c r="D190" s="59"/>
      <c r="E190" s="65"/>
      <c r="F190" s="65"/>
      <c r="G190" s="65"/>
      <c r="H190" s="65"/>
      <c r="I190" s="65"/>
      <c r="J190" s="65"/>
      <c r="K190" s="65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8"/>
    </row>
    <row r="191" ht="15.75" customHeight="1">
      <c r="A191" s="65"/>
      <c r="B191" s="59"/>
      <c r="C191" s="65"/>
      <c r="D191" s="59"/>
      <c r="E191" s="65"/>
      <c r="F191" s="65"/>
      <c r="G191" s="65"/>
      <c r="H191" s="65"/>
      <c r="I191" s="65"/>
      <c r="J191" s="65"/>
      <c r="K191" s="65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8"/>
    </row>
    <row r="192" ht="15.75" customHeight="1">
      <c r="A192" s="65"/>
      <c r="B192" s="59"/>
      <c r="C192" s="65"/>
      <c r="D192" s="59"/>
      <c r="E192" s="65"/>
      <c r="F192" s="65"/>
      <c r="G192" s="65"/>
      <c r="H192" s="65"/>
      <c r="I192" s="65"/>
      <c r="J192" s="65"/>
      <c r="K192" s="65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8"/>
    </row>
    <row r="193" ht="15.75" customHeight="1">
      <c r="A193" s="65"/>
      <c r="B193" s="59"/>
      <c r="C193" s="65"/>
      <c r="D193" s="59"/>
      <c r="E193" s="65"/>
      <c r="F193" s="65"/>
      <c r="G193" s="65"/>
      <c r="H193" s="65"/>
      <c r="I193" s="65"/>
      <c r="J193" s="65"/>
      <c r="K193" s="65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8"/>
    </row>
    <row r="194" ht="15.75" customHeight="1">
      <c r="A194" s="65"/>
      <c r="B194" s="59"/>
      <c r="C194" s="65"/>
      <c r="D194" s="59"/>
      <c r="E194" s="65"/>
      <c r="F194" s="65"/>
      <c r="G194" s="65"/>
      <c r="H194" s="65"/>
      <c r="I194" s="65"/>
      <c r="J194" s="65"/>
      <c r="K194" s="65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8"/>
    </row>
    <row r="195" ht="15.75" customHeight="1">
      <c r="A195" s="65"/>
      <c r="B195" s="59"/>
      <c r="C195" s="65"/>
      <c r="D195" s="59"/>
      <c r="E195" s="65"/>
      <c r="F195" s="65"/>
      <c r="G195" s="65"/>
      <c r="H195" s="65"/>
      <c r="I195" s="65"/>
      <c r="J195" s="65"/>
      <c r="K195" s="65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8"/>
    </row>
    <row r="196" ht="15.75" customHeight="1">
      <c r="A196" s="65"/>
      <c r="B196" s="59"/>
      <c r="C196" s="65"/>
      <c r="D196" s="59"/>
      <c r="E196" s="65"/>
      <c r="F196" s="65"/>
      <c r="G196" s="65"/>
      <c r="H196" s="65"/>
      <c r="I196" s="65"/>
      <c r="J196" s="65"/>
      <c r="K196" s="65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8"/>
    </row>
    <row r="197" ht="15.75" customHeight="1">
      <c r="A197" s="65"/>
      <c r="B197" s="59"/>
      <c r="C197" s="65"/>
      <c r="D197" s="59"/>
      <c r="E197" s="65"/>
      <c r="F197" s="65"/>
      <c r="G197" s="65"/>
      <c r="H197" s="65"/>
      <c r="I197" s="65"/>
      <c r="J197" s="65"/>
      <c r="K197" s="65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8"/>
    </row>
    <row r="198" ht="15.75" customHeight="1">
      <c r="A198" s="65"/>
      <c r="B198" s="59"/>
      <c r="C198" s="65"/>
      <c r="D198" s="59"/>
      <c r="E198" s="65"/>
      <c r="F198" s="65"/>
      <c r="G198" s="65"/>
      <c r="H198" s="65"/>
      <c r="I198" s="65"/>
      <c r="J198" s="65"/>
      <c r="K198" s="65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8"/>
    </row>
    <row r="199" ht="15.75" customHeight="1">
      <c r="A199" s="65"/>
      <c r="B199" s="59"/>
      <c r="C199" s="65"/>
      <c r="D199" s="59"/>
      <c r="E199" s="65"/>
      <c r="F199" s="65"/>
      <c r="G199" s="65"/>
      <c r="H199" s="65"/>
      <c r="I199" s="65"/>
      <c r="J199" s="65"/>
      <c r="K199" s="65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8"/>
    </row>
    <row r="200" ht="15.75" customHeight="1">
      <c r="A200" s="65"/>
      <c r="B200" s="59"/>
      <c r="C200" s="65"/>
      <c r="D200" s="59"/>
      <c r="E200" s="65"/>
      <c r="F200" s="65"/>
      <c r="G200" s="65"/>
      <c r="H200" s="65"/>
      <c r="I200" s="65"/>
      <c r="J200" s="65"/>
      <c r="K200" s="65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8"/>
    </row>
    <row r="201" ht="15.75" customHeight="1">
      <c r="A201" s="65"/>
      <c r="B201" s="59"/>
      <c r="C201" s="65"/>
      <c r="D201" s="59"/>
      <c r="E201" s="65"/>
      <c r="F201" s="65"/>
      <c r="G201" s="65"/>
      <c r="H201" s="65"/>
      <c r="I201" s="65"/>
      <c r="J201" s="65"/>
      <c r="K201" s="65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8"/>
    </row>
    <row r="202" ht="15.75" customHeight="1">
      <c r="A202" s="65"/>
      <c r="B202" s="59"/>
      <c r="C202" s="65"/>
      <c r="D202" s="59"/>
      <c r="E202" s="65"/>
      <c r="F202" s="65"/>
      <c r="G202" s="65"/>
      <c r="H202" s="65"/>
      <c r="I202" s="65"/>
      <c r="J202" s="65"/>
      <c r="K202" s="65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8"/>
    </row>
    <row r="203" ht="15.75" customHeight="1">
      <c r="A203" s="65"/>
      <c r="B203" s="59"/>
      <c r="C203" s="65"/>
      <c r="D203" s="59"/>
      <c r="E203" s="65"/>
      <c r="F203" s="65"/>
      <c r="G203" s="65"/>
      <c r="H203" s="65"/>
      <c r="I203" s="65"/>
      <c r="J203" s="65"/>
      <c r="K203" s="65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8"/>
    </row>
    <row r="204" ht="15.75" customHeight="1">
      <c r="A204" s="65"/>
      <c r="B204" s="59"/>
      <c r="C204" s="65"/>
      <c r="D204" s="59"/>
      <c r="E204" s="65"/>
      <c r="F204" s="65"/>
      <c r="G204" s="65"/>
      <c r="H204" s="65"/>
      <c r="I204" s="65"/>
      <c r="J204" s="65"/>
      <c r="K204" s="65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8"/>
    </row>
    <row r="205" ht="15.75" customHeight="1">
      <c r="A205" s="65"/>
      <c r="B205" s="59"/>
      <c r="C205" s="65"/>
      <c r="D205" s="59"/>
      <c r="E205" s="65"/>
      <c r="F205" s="65"/>
      <c r="G205" s="65"/>
      <c r="H205" s="65"/>
      <c r="I205" s="65"/>
      <c r="J205" s="65"/>
      <c r="K205" s="65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8"/>
    </row>
    <row r="206" ht="15.75" customHeight="1">
      <c r="A206" s="65"/>
      <c r="B206" s="59"/>
      <c r="C206" s="65"/>
      <c r="D206" s="59"/>
      <c r="E206" s="65"/>
      <c r="F206" s="65"/>
      <c r="G206" s="65"/>
      <c r="H206" s="65"/>
      <c r="I206" s="65"/>
      <c r="J206" s="65"/>
      <c r="K206" s="65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8"/>
    </row>
    <row r="207" ht="15.75" customHeight="1">
      <c r="A207" s="65"/>
      <c r="B207" s="59"/>
      <c r="C207" s="65"/>
      <c r="D207" s="59"/>
      <c r="E207" s="65"/>
      <c r="F207" s="65"/>
      <c r="G207" s="65"/>
      <c r="H207" s="65"/>
      <c r="I207" s="65"/>
      <c r="J207" s="65"/>
      <c r="K207" s="65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8"/>
    </row>
    <row r="208" ht="15.75" customHeight="1">
      <c r="A208" s="65"/>
      <c r="B208" s="59"/>
      <c r="C208" s="65"/>
      <c r="D208" s="59"/>
      <c r="E208" s="65"/>
      <c r="F208" s="65"/>
      <c r="G208" s="65"/>
      <c r="H208" s="65"/>
      <c r="I208" s="65"/>
      <c r="J208" s="65"/>
      <c r="K208" s="65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8"/>
    </row>
    <row r="209" ht="15.75" customHeight="1">
      <c r="A209" s="65"/>
      <c r="B209" s="59"/>
      <c r="C209" s="65"/>
      <c r="D209" s="59"/>
      <c r="E209" s="65"/>
      <c r="F209" s="65"/>
      <c r="G209" s="65"/>
      <c r="H209" s="65"/>
      <c r="I209" s="65"/>
      <c r="J209" s="65"/>
      <c r="K209" s="65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8"/>
    </row>
    <row r="210" ht="15.75" customHeight="1">
      <c r="A210" s="65"/>
      <c r="B210" s="59"/>
      <c r="C210" s="65"/>
      <c r="D210" s="59"/>
      <c r="E210" s="65"/>
      <c r="F210" s="65"/>
      <c r="G210" s="65"/>
      <c r="H210" s="65"/>
      <c r="I210" s="65"/>
      <c r="J210" s="65"/>
      <c r="K210" s="65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8"/>
    </row>
    <row r="211" ht="15.75" customHeight="1">
      <c r="A211" s="65"/>
      <c r="B211" s="59"/>
      <c r="C211" s="65"/>
      <c r="D211" s="59"/>
      <c r="E211" s="65"/>
      <c r="F211" s="65"/>
      <c r="G211" s="65"/>
      <c r="H211" s="65"/>
      <c r="I211" s="65"/>
      <c r="J211" s="65"/>
      <c r="K211" s="65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8"/>
    </row>
    <row r="212" ht="15.75" customHeight="1">
      <c r="A212" s="65"/>
      <c r="B212" s="59"/>
      <c r="C212" s="65"/>
      <c r="D212" s="59"/>
      <c r="E212" s="65"/>
      <c r="F212" s="65"/>
      <c r="G212" s="65"/>
      <c r="H212" s="65"/>
      <c r="I212" s="65"/>
      <c r="J212" s="65"/>
      <c r="K212" s="65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8"/>
    </row>
    <row r="213" ht="15.75" customHeight="1">
      <c r="A213" s="65"/>
      <c r="B213" s="59"/>
      <c r="C213" s="65"/>
      <c r="D213" s="59"/>
      <c r="E213" s="65"/>
      <c r="F213" s="65"/>
      <c r="G213" s="65"/>
      <c r="H213" s="65"/>
      <c r="I213" s="65"/>
      <c r="J213" s="65"/>
      <c r="K213" s="65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8"/>
    </row>
    <row r="214" ht="15.75" customHeight="1">
      <c r="A214" s="65"/>
      <c r="B214" s="59"/>
      <c r="C214" s="65"/>
      <c r="D214" s="59"/>
      <c r="E214" s="65"/>
      <c r="F214" s="65"/>
      <c r="G214" s="65"/>
      <c r="H214" s="65"/>
      <c r="I214" s="65"/>
      <c r="J214" s="65"/>
      <c r="K214" s="65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8"/>
    </row>
    <row r="215" ht="15.75" customHeight="1">
      <c r="A215" s="65"/>
      <c r="B215" s="59"/>
      <c r="C215" s="65"/>
      <c r="D215" s="59"/>
      <c r="E215" s="65"/>
      <c r="F215" s="65"/>
      <c r="G215" s="65"/>
      <c r="H215" s="65"/>
      <c r="I215" s="65"/>
      <c r="J215" s="65"/>
      <c r="K215" s="65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8"/>
    </row>
    <row r="216" ht="15.75" customHeight="1">
      <c r="A216" s="65"/>
      <c r="B216" s="59"/>
      <c r="C216" s="65"/>
      <c r="D216" s="59"/>
      <c r="E216" s="65"/>
      <c r="F216" s="65"/>
      <c r="G216" s="65"/>
      <c r="H216" s="65"/>
      <c r="I216" s="65"/>
      <c r="J216" s="65"/>
      <c r="K216" s="65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8"/>
    </row>
    <row r="217" ht="15.75" customHeight="1">
      <c r="A217" s="65"/>
      <c r="B217" s="59"/>
      <c r="C217" s="65"/>
      <c r="D217" s="59"/>
      <c r="E217" s="65"/>
      <c r="F217" s="65"/>
      <c r="G217" s="65"/>
      <c r="H217" s="65"/>
      <c r="I217" s="65"/>
      <c r="J217" s="65"/>
      <c r="K217" s="65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8"/>
    </row>
    <row r="218" ht="15.75" customHeight="1">
      <c r="A218" s="65"/>
      <c r="B218" s="59"/>
      <c r="C218" s="65"/>
      <c r="D218" s="59"/>
      <c r="E218" s="65"/>
      <c r="F218" s="65"/>
      <c r="G218" s="65"/>
      <c r="H218" s="65"/>
      <c r="I218" s="65"/>
      <c r="J218" s="65"/>
      <c r="K218" s="65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8"/>
    </row>
    <row r="219" ht="15.75" customHeight="1">
      <c r="A219" s="65"/>
      <c r="B219" s="59"/>
      <c r="C219" s="65"/>
      <c r="D219" s="59"/>
      <c r="E219" s="65"/>
      <c r="F219" s="65"/>
      <c r="G219" s="65"/>
      <c r="H219" s="65"/>
      <c r="I219" s="65"/>
      <c r="J219" s="65"/>
      <c r="K219" s="65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8"/>
    </row>
    <row r="220" ht="15.75" customHeight="1">
      <c r="A220" s="65"/>
      <c r="B220" s="59"/>
      <c r="C220" s="65"/>
      <c r="D220" s="59"/>
      <c r="E220" s="65"/>
      <c r="F220" s="65"/>
      <c r="G220" s="65"/>
      <c r="H220" s="65"/>
      <c r="I220" s="65"/>
      <c r="J220" s="65"/>
      <c r="K220" s="65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8"/>
    </row>
    <row r="221" ht="15.75" customHeight="1">
      <c r="A221" s="65"/>
      <c r="B221" s="59"/>
      <c r="C221" s="65"/>
      <c r="D221" s="59"/>
      <c r="E221" s="65"/>
      <c r="F221" s="65"/>
      <c r="G221" s="65"/>
      <c r="H221" s="65"/>
      <c r="I221" s="65"/>
      <c r="J221" s="65"/>
      <c r="K221" s="65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8"/>
    </row>
    <row r="222" ht="15.75" customHeight="1">
      <c r="A222" s="65"/>
      <c r="B222" s="59"/>
      <c r="C222" s="65"/>
      <c r="D222" s="59"/>
      <c r="E222" s="65"/>
      <c r="F222" s="65"/>
      <c r="G222" s="65"/>
      <c r="H222" s="65"/>
      <c r="I222" s="65"/>
      <c r="J222" s="65"/>
      <c r="K222" s="65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8"/>
    </row>
    <row r="223" ht="15.75" customHeight="1">
      <c r="A223" s="65"/>
      <c r="B223" s="59"/>
      <c r="C223" s="65"/>
      <c r="D223" s="59"/>
      <c r="E223" s="65"/>
      <c r="F223" s="65"/>
      <c r="G223" s="65"/>
      <c r="H223" s="65"/>
      <c r="I223" s="65"/>
      <c r="J223" s="65"/>
      <c r="K223" s="65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8"/>
    </row>
    <row r="224" ht="15.75" customHeight="1">
      <c r="A224" s="65"/>
      <c r="B224" s="59"/>
      <c r="C224" s="65"/>
      <c r="D224" s="59"/>
      <c r="E224" s="65"/>
      <c r="F224" s="65"/>
      <c r="G224" s="65"/>
      <c r="H224" s="65"/>
      <c r="I224" s="65"/>
      <c r="J224" s="65"/>
      <c r="K224" s="65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8"/>
    </row>
    <row r="225" ht="15.75" customHeight="1">
      <c r="A225" s="65"/>
      <c r="B225" s="59"/>
      <c r="C225" s="65"/>
      <c r="D225" s="59"/>
      <c r="E225" s="65"/>
      <c r="F225" s="65"/>
      <c r="G225" s="65"/>
      <c r="H225" s="65"/>
      <c r="I225" s="65"/>
      <c r="J225" s="65"/>
    </row>
    <row r="226" ht="15.75" customHeight="1">
      <c r="A226" s="65"/>
      <c r="B226" s="59"/>
      <c r="C226" s="65"/>
      <c r="D226" s="59"/>
      <c r="E226" s="65"/>
      <c r="F226" s="65"/>
      <c r="G226" s="65"/>
      <c r="H226" s="65"/>
      <c r="I226" s="65"/>
      <c r="J226" s="65"/>
    </row>
    <row r="227" ht="15.75" customHeight="1">
      <c r="A227" s="65"/>
      <c r="B227" s="59"/>
      <c r="C227" s="65"/>
      <c r="D227" s="59"/>
      <c r="E227" s="65"/>
      <c r="F227" s="65"/>
      <c r="G227" s="65"/>
      <c r="H227" s="65"/>
      <c r="I227" s="65"/>
      <c r="J227" s="65"/>
    </row>
    <row r="228" ht="15.75" customHeight="1">
      <c r="A228" s="65"/>
      <c r="B228" s="59"/>
      <c r="C228" s="65"/>
      <c r="D228" s="59"/>
      <c r="E228" s="65"/>
      <c r="F228" s="65"/>
      <c r="G228" s="65"/>
      <c r="H228" s="65"/>
      <c r="I228" s="65"/>
      <c r="J228" s="65"/>
    </row>
    <row r="229" ht="15.75" customHeight="1">
      <c r="A229" s="65"/>
      <c r="B229" s="59"/>
      <c r="C229" s="65"/>
      <c r="D229" s="59"/>
      <c r="E229" s="65"/>
      <c r="F229" s="65"/>
      <c r="G229" s="65"/>
      <c r="H229" s="65"/>
      <c r="I229" s="65"/>
      <c r="J229" s="65"/>
    </row>
    <row r="230" ht="15.75" customHeight="1">
      <c r="A230" s="65"/>
      <c r="B230" s="59"/>
      <c r="C230" s="65"/>
      <c r="D230" s="59"/>
      <c r="E230" s="65"/>
      <c r="F230" s="65"/>
      <c r="G230" s="65"/>
      <c r="H230" s="65"/>
      <c r="I230" s="65"/>
      <c r="J230" s="65"/>
    </row>
    <row r="231" ht="15.75" customHeight="1">
      <c r="A231" s="65"/>
      <c r="B231" s="59"/>
      <c r="C231" s="65"/>
      <c r="D231" s="59"/>
      <c r="E231" s="65"/>
      <c r="F231" s="65"/>
      <c r="G231" s="65"/>
      <c r="H231" s="65"/>
      <c r="I231" s="65"/>
      <c r="J231" s="65"/>
    </row>
    <row r="232" ht="15.75" customHeight="1">
      <c r="A232" s="65"/>
      <c r="B232" s="59"/>
      <c r="C232" s="65"/>
      <c r="D232" s="59"/>
      <c r="E232" s="65"/>
      <c r="F232" s="65"/>
      <c r="G232" s="65"/>
      <c r="H232" s="65"/>
      <c r="I232" s="65"/>
      <c r="J232" s="65"/>
    </row>
    <row r="233" ht="15.75" customHeight="1">
      <c r="A233" s="65"/>
      <c r="B233" s="59"/>
      <c r="C233" s="65"/>
      <c r="D233" s="59"/>
      <c r="E233" s="65"/>
      <c r="F233" s="65"/>
      <c r="G233" s="65"/>
      <c r="H233" s="65"/>
      <c r="I233" s="65"/>
      <c r="J233" s="65"/>
    </row>
    <row r="234" ht="15.75" customHeight="1">
      <c r="A234" s="65"/>
      <c r="B234" s="59"/>
      <c r="C234" s="65"/>
      <c r="D234" s="59"/>
      <c r="E234" s="65"/>
      <c r="F234" s="65"/>
      <c r="G234" s="65"/>
      <c r="H234" s="65"/>
      <c r="I234" s="65"/>
      <c r="J234" s="65"/>
    </row>
    <row r="235" ht="15.75" customHeight="1">
      <c r="A235" s="65"/>
      <c r="B235" s="59"/>
      <c r="C235" s="65"/>
      <c r="D235" s="59"/>
      <c r="E235" s="65"/>
      <c r="F235" s="65"/>
      <c r="G235" s="65"/>
      <c r="H235" s="65"/>
      <c r="I235" s="65"/>
      <c r="J235" s="65"/>
    </row>
    <row r="236" ht="15.75" customHeight="1">
      <c r="A236" s="65"/>
      <c r="B236" s="59"/>
      <c r="C236" s="65"/>
      <c r="D236" s="59"/>
      <c r="E236" s="65"/>
      <c r="F236" s="65"/>
      <c r="G236" s="65"/>
      <c r="H236" s="65"/>
      <c r="I236" s="65"/>
      <c r="J236" s="65"/>
    </row>
    <row r="237" ht="15.75" customHeight="1">
      <c r="A237" s="65"/>
      <c r="B237" s="59"/>
      <c r="C237" s="65"/>
      <c r="D237" s="59"/>
      <c r="E237" s="65"/>
      <c r="F237" s="65"/>
      <c r="G237" s="65"/>
      <c r="H237" s="65"/>
      <c r="I237" s="65"/>
      <c r="J237" s="65"/>
    </row>
    <row r="238" ht="15.75" customHeight="1">
      <c r="A238" s="65"/>
      <c r="B238" s="59"/>
      <c r="C238" s="65"/>
      <c r="D238" s="59"/>
      <c r="E238" s="65"/>
      <c r="F238" s="65"/>
      <c r="G238" s="65"/>
      <c r="H238" s="65"/>
      <c r="I238" s="65"/>
      <c r="J238" s="65"/>
    </row>
    <row r="239" ht="15.75" customHeight="1">
      <c r="A239" s="65"/>
      <c r="B239" s="59"/>
      <c r="C239" s="65"/>
      <c r="D239" s="59"/>
      <c r="E239" s="65"/>
      <c r="F239" s="65"/>
      <c r="G239" s="65"/>
      <c r="H239" s="65"/>
      <c r="I239" s="65"/>
      <c r="J239" s="65"/>
    </row>
    <row r="240" ht="15.75" customHeight="1">
      <c r="A240" s="65"/>
      <c r="B240" s="59"/>
      <c r="C240" s="65"/>
      <c r="D240" s="59"/>
      <c r="E240" s="65"/>
      <c r="F240" s="65"/>
      <c r="G240" s="65"/>
      <c r="H240" s="65"/>
      <c r="I240" s="65"/>
      <c r="J240" s="65"/>
    </row>
    <row r="241" ht="15.75" customHeight="1">
      <c r="A241" s="65"/>
      <c r="B241" s="59"/>
      <c r="C241" s="65"/>
      <c r="D241" s="59"/>
      <c r="E241" s="65"/>
      <c r="F241" s="65"/>
      <c r="G241" s="65"/>
      <c r="H241" s="65"/>
      <c r="I241" s="65"/>
      <c r="J241" s="65"/>
    </row>
    <row r="242" ht="15.75" customHeight="1">
      <c r="A242" s="65"/>
      <c r="B242" s="59"/>
      <c r="C242" s="65"/>
      <c r="D242" s="59"/>
      <c r="E242" s="65"/>
      <c r="F242" s="65"/>
      <c r="G242" s="65"/>
      <c r="H242" s="65"/>
      <c r="I242" s="65"/>
      <c r="J242" s="65"/>
    </row>
    <row r="243" ht="15.75" customHeight="1">
      <c r="A243" s="65"/>
      <c r="B243" s="59"/>
      <c r="C243" s="65"/>
      <c r="D243" s="59"/>
      <c r="E243" s="65"/>
      <c r="F243" s="65"/>
      <c r="G243" s="65"/>
      <c r="H243" s="65"/>
      <c r="I243" s="65"/>
      <c r="J243" s="65"/>
    </row>
    <row r="244" ht="15.75" customHeight="1">
      <c r="A244" s="65"/>
      <c r="B244" s="59"/>
      <c r="C244" s="65"/>
      <c r="D244" s="59"/>
      <c r="E244" s="65"/>
      <c r="F244" s="65"/>
      <c r="G244" s="65"/>
      <c r="H244" s="65"/>
      <c r="I244" s="65"/>
      <c r="J244" s="65"/>
    </row>
    <row r="245" ht="15.75" customHeight="1">
      <c r="A245" s="65"/>
      <c r="B245" s="59"/>
      <c r="C245" s="65"/>
      <c r="D245" s="59"/>
      <c r="E245" s="65"/>
      <c r="F245" s="65"/>
      <c r="G245" s="65"/>
      <c r="H245" s="65"/>
      <c r="I245" s="65"/>
      <c r="J245" s="65"/>
    </row>
    <row r="246" ht="15.75" customHeight="1">
      <c r="A246" s="65"/>
      <c r="B246" s="59"/>
      <c r="C246" s="65"/>
      <c r="D246" s="59"/>
      <c r="E246" s="65"/>
      <c r="F246" s="65"/>
      <c r="G246" s="65"/>
      <c r="H246" s="65"/>
      <c r="I246" s="65"/>
      <c r="J246" s="65"/>
    </row>
    <row r="247" ht="15.75" customHeight="1">
      <c r="A247" s="65"/>
      <c r="B247" s="59"/>
      <c r="C247" s="65"/>
      <c r="D247" s="59"/>
      <c r="E247" s="65"/>
      <c r="F247" s="65"/>
      <c r="G247" s="65"/>
      <c r="H247" s="65"/>
      <c r="I247" s="65"/>
      <c r="J247" s="65"/>
    </row>
    <row r="248" ht="15.75" customHeight="1">
      <c r="A248" s="65"/>
      <c r="B248" s="59"/>
      <c r="C248" s="65"/>
      <c r="D248" s="59"/>
      <c r="E248" s="65"/>
      <c r="F248" s="65"/>
      <c r="G248" s="65"/>
      <c r="H248" s="65"/>
      <c r="I248" s="65"/>
      <c r="J248" s="65"/>
    </row>
    <row r="249" ht="15.75" customHeight="1">
      <c r="A249" s="65"/>
      <c r="B249" s="59"/>
      <c r="C249" s="65"/>
      <c r="D249" s="59"/>
      <c r="E249" s="65"/>
      <c r="F249" s="65"/>
      <c r="G249" s="65"/>
      <c r="H249" s="65"/>
      <c r="I249" s="65"/>
      <c r="J249" s="65"/>
    </row>
    <row r="250" ht="15.75" customHeight="1">
      <c r="A250" s="65"/>
      <c r="B250" s="59"/>
      <c r="C250" s="65"/>
      <c r="D250" s="59"/>
      <c r="E250" s="65"/>
      <c r="F250" s="65"/>
      <c r="G250" s="65"/>
      <c r="H250" s="65"/>
      <c r="I250" s="65"/>
      <c r="J250" s="65"/>
    </row>
    <row r="251" ht="15.75" customHeight="1">
      <c r="A251" s="65"/>
      <c r="B251" s="59"/>
      <c r="C251" s="65"/>
      <c r="D251" s="59"/>
      <c r="E251" s="65"/>
      <c r="F251" s="65"/>
      <c r="G251" s="65"/>
      <c r="H251" s="65"/>
      <c r="I251" s="65"/>
      <c r="J251" s="65"/>
    </row>
    <row r="252" ht="15.75" customHeight="1">
      <c r="A252" s="65"/>
      <c r="B252" s="59"/>
      <c r="C252" s="65"/>
      <c r="D252" s="59"/>
      <c r="E252" s="65"/>
      <c r="F252" s="65"/>
      <c r="G252" s="65"/>
      <c r="H252" s="65"/>
      <c r="I252" s="65"/>
      <c r="J252" s="65"/>
    </row>
    <row r="253" ht="15.75" customHeight="1">
      <c r="A253" s="65"/>
      <c r="B253" s="59"/>
      <c r="C253" s="65"/>
      <c r="D253" s="59"/>
      <c r="E253" s="65"/>
      <c r="F253" s="65"/>
      <c r="G253" s="65"/>
      <c r="H253" s="65"/>
      <c r="I253" s="65"/>
      <c r="J253" s="65"/>
    </row>
    <row r="254" ht="15.75" customHeight="1">
      <c r="A254" s="65"/>
      <c r="B254" s="59"/>
      <c r="C254" s="65"/>
      <c r="D254" s="59"/>
      <c r="E254" s="65"/>
      <c r="F254" s="65"/>
      <c r="G254" s="65"/>
      <c r="H254" s="65"/>
      <c r="I254" s="65"/>
      <c r="J254" s="65"/>
    </row>
    <row r="255" ht="15.75" customHeight="1">
      <c r="A255" s="65"/>
      <c r="B255" s="59"/>
      <c r="C255" s="65"/>
      <c r="D255" s="59"/>
      <c r="E255" s="65"/>
      <c r="F255" s="65"/>
      <c r="G255" s="65"/>
      <c r="H255" s="65"/>
      <c r="I255" s="65"/>
      <c r="J255" s="65"/>
    </row>
    <row r="256" ht="15.75" customHeight="1">
      <c r="A256" s="65"/>
      <c r="B256" s="59"/>
      <c r="C256" s="65"/>
      <c r="D256" s="59"/>
      <c r="E256" s="65"/>
      <c r="F256" s="65"/>
      <c r="G256" s="65"/>
      <c r="H256" s="65"/>
      <c r="I256" s="65"/>
      <c r="J256" s="65"/>
    </row>
    <row r="257" ht="15.75" customHeight="1">
      <c r="A257" s="65"/>
      <c r="B257" s="59"/>
      <c r="C257" s="65"/>
      <c r="D257" s="211"/>
    </row>
    <row r="258" ht="15.75" customHeight="1">
      <c r="A258" s="65"/>
      <c r="B258" s="59"/>
      <c r="C258" s="65"/>
      <c r="D258" s="211"/>
    </row>
    <row r="259" ht="15.75" customHeight="1">
      <c r="A259" s="65"/>
      <c r="B259" s="59"/>
      <c r="C259" s="65"/>
      <c r="D259" s="211"/>
    </row>
    <row r="260" ht="15.75" customHeight="1">
      <c r="A260" s="127"/>
      <c r="B260" s="211"/>
      <c r="D260" s="211"/>
    </row>
    <row r="261" ht="15.75" customHeight="1">
      <c r="A261" s="127"/>
      <c r="B261" s="211"/>
      <c r="D261" s="211"/>
    </row>
    <row r="262" ht="15.75" customHeight="1">
      <c r="A262" s="127"/>
      <c r="B262" s="211"/>
      <c r="D262" s="211"/>
    </row>
    <row r="263" ht="15.75" customHeight="1">
      <c r="A263" s="127"/>
      <c r="B263" s="211"/>
      <c r="D263" s="211"/>
    </row>
    <row r="264" ht="15.75" customHeight="1">
      <c r="A264" s="127"/>
      <c r="B264" s="211"/>
      <c r="D264" s="211"/>
    </row>
    <row r="265" ht="15.75" customHeight="1">
      <c r="A265" s="127"/>
      <c r="B265" s="211"/>
      <c r="D265" s="211"/>
    </row>
    <row r="266" ht="15.75" customHeight="1">
      <c r="A266" s="127"/>
      <c r="B266" s="211"/>
      <c r="D266" s="211"/>
    </row>
    <row r="267" ht="15.75" customHeight="1">
      <c r="A267" s="127"/>
      <c r="B267" s="211"/>
      <c r="D267" s="211"/>
    </row>
    <row r="268" ht="15.75" customHeight="1">
      <c r="A268" s="127"/>
      <c r="B268" s="211"/>
      <c r="D268" s="211"/>
    </row>
    <row r="269" ht="15.75" customHeight="1">
      <c r="A269" s="127"/>
      <c r="B269" s="211"/>
      <c r="D269" s="211"/>
    </row>
    <row r="270" ht="15.75" customHeight="1">
      <c r="A270" s="127"/>
      <c r="B270" s="211"/>
      <c r="D270" s="211"/>
    </row>
    <row r="271" ht="15.75" customHeight="1">
      <c r="A271" s="127"/>
      <c r="B271" s="211"/>
      <c r="D271" s="211"/>
    </row>
    <row r="272" ht="15.75" customHeight="1">
      <c r="A272" s="127"/>
      <c r="B272" s="211"/>
      <c r="D272" s="211"/>
    </row>
    <row r="273" ht="15.75" customHeight="1">
      <c r="A273" s="127"/>
      <c r="B273" s="211"/>
      <c r="D273" s="211"/>
    </row>
    <row r="274" ht="15.75" customHeight="1">
      <c r="A274" s="127"/>
      <c r="B274" s="211"/>
      <c r="D274" s="211"/>
    </row>
    <row r="275" ht="15.75" customHeight="1">
      <c r="A275" s="127"/>
      <c r="B275" s="211"/>
      <c r="D275" s="211"/>
    </row>
    <row r="276" ht="15.75" customHeight="1">
      <c r="A276" s="127"/>
      <c r="B276" s="211"/>
      <c r="D276" s="211"/>
    </row>
    <row r="277" ht="15.75" customHeight="1">
      <c r="A277" s="127"/>
      <c r="B277" s="211"/>
      <c r="D277" s="211"/>
    </row>
    <row r="278" ht="15.75" customHeight="1">
      <c r="A278" s="127"/>
      <c r="B278" s="211"/>
      <c r="D278" s="211"/>
    </row>
    <row r="279" ht="15.75" customHeight="1">
      <c r="A279" s="127"/>
      <c r="B279" s="211"/>
      <c r="D279" s="211"/>
    </row>
    <row r="280" ht="15.75" customHeight="1">
      <c r="A280" s="127"/>
      <c r="B280" s="211"/>
      <c r="D280" s="211"/>
    </row>
    <row r="281" ht="15.75" customHeight="1">
      <c r="A281" s="127"/>
      <c r="B281" s="211"/>
      <c r="D281" s="211"/>
    </row>
    <row r="282" ht="15.75" customHeight="1">
      <c r="A282" s="127"/>
      <c r="B282" s="211"/>
      <c r="D282" s="211"/>
    </row>
    <row r="283" ht="15.75" customHeight="1">
      <c r="A283" s="127"/>
      <c r="B283" s="211"/>
      <c r="D283" s="211"/>
    </row>
    <row r="284" ht="15.75" customHeight="1">
      <c r="A284" s="127"/>
      <c r="B284" s="211"/>
      <c r="D284" s="211"/>
    </row>
    <row r="285" ht="15.75" customHeight="1">
      <c r="A285" s="127"/>
      <c r="B285" s="211"/>
      <c r="D285" s="211"/>
    </row>
    <row r="286" ht="15.75" customHeight="1">
      <c r="A286" s="127"/>
      <c r="B286" s="211"/>
      <c r="D286" s="211"/>
    </row>
    <row r="287" ht="15.75" customHeight="1">
      <c r="A287" s="127"/>
      <c r="B287" s="211"/>
      <c r="D287" s="211"/>
    </row>
    <row r="288" ht="15.75" customHeight="1">
      <c r="A288" s="127"/>
      <c r="B288" s="211"/>
      <c r="D288" s="211"/>
    </row>
    <row r="289" ht="15.75" customHeight="1">
      <c r="A289" s="127"/>
      <c r="B289" s="211"/>
      <c r="D289" s="211"/>
    </row>
    <row r="290" ht="15.75" customHeight="1">
      <c r="A290" s="127"/>
      <c r="B290" s="211"/>
      <c r="D290" s="211"/>
    </row>
    <row r="291" ht="15.75" customHeight="1">
      <c r="A291" s="127"/>
      <c r="B291" s="211"/>
      <c r="D291" s="211"/>
    </row>
    <row r="292" ht="15.75" customHeight="1">
      <c r="A292" s="127"/>
      <c r="B292" s="211"/>
      <c r="D292" s="211"/>
    </row>
    <row r="293" ht="15.75" customHeight="1">
      <c r="A293" s="127"/>
      <c r="B293" s="211"/>
      <c r="D293" s="211"/>
    </row>
    <row r="294" ht="15.75" customHeight="1">
      <c r="A294" s="127"/>
      <c r="B294" s="211"/>
      <c r="D294" s="211"/>
    </row>
    <row r="295" ht="15.75" customHeight="1">
      <c r="A295" s="127"/>
      <c r="B295" s="211"/>
      <c r="D295" s="211"/>
    </row>
    <row r="296" ht="15.75" customHeight="1">
      <c r="A296" s="127"/>
      <c r="B296" s="211"/>
      <c r="D296" s="211"/>
    </row>
    <row r="297" ht="15.75" customHeight="1">
      <c r="A297" s="127"/>
      <c r="B297" s="211"/>
      <c r="D297" s="211"/>
    </row>
    <row r="298" ht="15.75" customHeight="1">
      <c r="A298" s="127"/>
      <c r="B298" s="211"/>
      <c r="D298" s="211"/>
    </row>
    <row r="299" ht="15.75" customHeight="1">
      <c r="A299" s="127"/>
      <c r="B299" s="211"/>
      <c r="D299" s="211"/>
    </row>
    <row r="300" ht="15.75" customHeight="1">
      <c r="A300" s="127"/>
      <c r="B300" s="211"/>
      <c r="D300" s="211"/>
    </row>
    <row r="301" ht="15.75" customHeight="1">
      <c r="A301" s="127"/>
      <c r="B301" s="211"/>
      <c r="D301" s="211"/>
    </row>
    <row r="302" ht="15.75" customHeight="1">
      <c r="A302" s="127"/>
      <c r="B302" s="211"/>
      <c r="D302" s="211"/>
    </row>
    <row r="303" ht="15.75" customHeight="1">
      <c r="A303" s="127"/>
      <c r="B303" s="211"/>
      <c r="D303" s="211"/>
    </row>
    <row r="304" ht="15.75" customHeight="1">
      <c r="A304" s="127"/>
      <c r="B304" s="211"/>
      <c r="D304" s="211"/>
    </row>
    <row r="305" ht="15.75" customHeight="1">
      <c r="A305" s="127"/>
      <c r="B305" s="211"/>
      <c r="D305" s="211"/>
    </row>
    <row r="306" ht="15.75" customHeight="1">
      <c r="A306" s="127"/>
      <c r="B306" s="211"/>
      <c r="D306" s="211"/>
    </row>
    <row r="307" ht="15.75" customHeight="1">
      <c r="A307" s="127"/>
      <c r="B307" s="211"/>
      <c r="D307" s="211"/>
    </row>
    <row r="308" ht="15.75" customHeight="1">
      <c r="A308" s="127"/>
      <c r="B308" s="211"/>
      <c r="D308" s="211"/>
    </row>
    <row r="309" ht="15.75" customHeight="1">
      <c r="A309" s="127"/>
      <c r="B309" s="211"/>
      <c r="D309" s="211"/>
    </row>
    <row r="310" ht="15.75" customHeight="1">
      <c r="A310" s="127"/>
      <c r="B310" s="211"/>
      <c r="D310" s="211"/>
    </row>
    <row r="311" ht="15.75" customHeight="1">
      <c r="A311" s="127"/>
      <c r="B311" s="211"/>
      <c r="D311" s="211"/>
    </row>
    <row r="312" ht="15.75" customHeight="1">
      <c r="A312" s="127"/>
      <c r="B312" s="211"/>
      <c r="D312" s="211"/>
    </row>
    <row r="313" ht="15.75" customHeight="1">
      <c r="A313" s="127"/>
      <c r="B313" s="211"/>
      <c r="D313" s="211"/>
    </row>
    <row r="314" ht="15.75" customHeight="1">
      <c r="A314" s="127"/>
      <c r="B314" s="211"/>
      <c r="D314" s="211"/>
    </row>
    <row r="315" ht="15.75" customHeight="1">
      <c r="A315" s="127"/>
      <c r="B315" s="211"/>
      <c r="D315" s="211"/>
    </row>
    <row r="316" ht="15.75" customHeight="1">
      <c r="A316" s="127"/>
      <c r="B316" s="211"/>
      <c r="D316" s="211"/>
    </row>
    <row r="317" ht="15.75" customHeight="1">
      <c r="A317" s="127"/>
      <c r="B317" s="211"/>
      <c r="D317" s="211"/>
    </row>
    <row r="318" ht="15.75" customHeight="1">
      <c r="A318" s="127"/>
      <c r="B318" s="211"/>
      <c r="D318" s="211"/>
    </row>
    <row r="319" ht="15.75" customHeight="1">
      <c r="A319" s="127"/>
      <c r="B319" s="211"/>
      <c r="D319" s="211"/>
    </row>
    <row r="320" ht="15.75" customHeight="1">
      <c r="A320" s="127"/>
      <c r="B320" s="211"/>
      <c r="D320" s="211"/>
    </row>
    <row r="321" ht="15.75" customHeight="1">
      <c r="A321" s="127"/>
      <c r="B321" s="211"/>
      <c r="D321" s="211"/>
    </row>
    <row r="322" ht="15.75" customHeight="1">
      <c r="A322" s="127"/>
      <c r="B322" s="211"/>
      <c r="D322" s="211"/>
    </row>
    <row r="323" ht="15.75" customHeight="1">
      <c r="A323" s="127"/>
      <c r="B323" s="211"/>
      <c r="D323" s="211"/>
    </row>
    <row r="324" ht="15.75" customHeight="1">
      <c r="A324" s="127"/>
      <c r="B324" s="211"/>
      <c r="D324" s="211"/>
    </row>
    <row r="325" ht="15.75" customHeight="1">
      <c r="A325" s="127"/>
      <c r="B325" s="211"/>
      <c r="D325" s="211"/>
    </row>
    <row r="326" ht="15.75" customHeight="1">
      <c r="A326" s="127"/>
      <c r="B326" s="211"/>
      <c r="D326" s="211"/>
    </row>
    <row r="327" ht="15.75" customHeight="1">
      <c r="A327" s="127"/>
      <c r="B327" s="211"/>
      <c r="D327" s="211"/>
    </row>
    <row r="328" ht="15.75" customHeight="1">
      <c r="A328" s="127"/>
      <c r="B328" s="211"/>
      <c r="D328" s="211"/>
    </row>
    <row r="329" ht="15.75" customHeight="1">
      <c r="A329" s="127"/>
      <c r="B329" s="211"/>
      <c r="D329" s="211"/>
    </row>
    <row r="330" ht="15.75" customHeight="1">
      <c r="A330" s="127"/>
      <c r="B330" s="211"/>
      <c r="D330" s="211"/>
    </row>
    <row r="331" ht="15.75" customHeight="1">
      <c r="A331" s="127"/>
      <c r="B331" s="211"/>
      <c r="D331" s="211"/>
    </row>
    <row r="332" ht="15.75" customHeight="1">
      <c r="A332" s="127"/>
      <c r="B332" s="211"/>
      <c r="D332" s="211"/>
    </row>
    <row r="333" ht="15.75" customHeight="1">
      <c r="A333" s="127"/>
      <c r="B333" s="211"/>
      <c r="D333" s="211"/>
    </row>
    <row r="334" ht="15.75" customHeight="1">
      <c r="A334" s="127"/>
      <c r="B334" s="211"/>
      <c r="D334" s="211"/>
    </row>
    <row r="335" ht="15.75" customHeight="1">
      <c r="A335" s="127"/>
      <c r="B335" s="211"/>
      <c r="D335" s="211"/>
    </row>
    <row r="336" ht="15.75" customHeight="1">
      <c r="A336" s="127"/>
      <c r="B336" s="211"/>
      <c r="D336" s="211"/>
    </row>
    <row r="337" ht="15.75" customHeight="1">
      <c r="A337" s="127"/>
      <c r="B337" s="211"/>
      <c r="D337" s="211"/>
    </row>
    <row r="338" ht="15.75" customHeight="1">
      <c r="A338" s="127"/>
      <c r="B338" s="211"/>
      <c r="D338" s="211"/>
    </row>
    <row r="339" ht="15.75" customHeight="1">
      <c r="A339" s="127"/>
      <c r="B339" s="211"/>
      <c r="D339" s="211"/>
    </row>
    <row r="340" ht="15.75" customHeight="1">
      <c r="A340" s="127"/>
      <c r="B340" s="211"/>
      <c r="D340" s="211"/>
    </row>
    <row r="341" ht="15.75" customHeight="1">
      <c r="A341" s="127"/>
      <c r="B341" s="211"/>
      <c r="D341" s="211"/>
    </row>
    <row r="342" ht="15.75" customHeight="1">
      <c r="A342" s="127"/>
      <c r="B342" s="211"/>
      <c r="D342" s="211"/>
    </row>
    <row r="343" ht="15.75" customHeight="1">
      <c r="A343" s="127"/>
      <c r="B343" s="211"/>
      <c r="D343" s="211"/>
    </row>
    <row r="344" ht="15.75" customHeight="1">
      <c r="A344" s="127"/>
      <c r="B344" s="211"/>
      <c r="D344" s="211"/>
    </row>
    <row r="345" ht="15.75" customHeight="1">
      <c r="A345" s="127"/>
      <c r="B345" s="211"/>
      <c r="D345" s="211"/>
    </row>
    <row r="346" ht="15.75" customHeight="1">
      <c r="A346" s="127"/>
      <c r="B346" s="211"/>
      <c r="D346" s="211"/>
    </row>
    <row r="347" ht="15.75" customHeight="1">
      <c r="A347" s="127"/>
      <c r="B347" s="211"/>
      <c r="D347" s="211"/>
    </row>
    <row r="348" ht="15.75" customHeight="1">
      <c r="A348" s="127"/>
      <c r="B348" s="211"/>
      <c r="D348" s="211"/>
    </row>
    <row r="349" ht="15.75" customHeight="1">
      <c r="A349" s="127"/>
      <c r="B349" s="211"/>
      <c r="D349" s="211"/>
    </row>
    <row r="350" ht="15.75" customHeight="1">
      <c r="A350" s="127"/>
      <c r="B350" s="211"/>
      <c r="D350" s="211"/>
    </row>
    <row r="351" ht="15.75" customHeight="1">
      <c r="A351" s="127"/>
      <c r="B351" s="211"/>
      <c r="D351" s="211"/>
    </row>
    <row r="352" ht="15.75" customHeight="1">
      <c r="A352" s="127"/>
      <c r="B352" s="211"/>
      <c r="D352" s="211"/>
    </row>
    <row r="353" ht="15.75" customHeight="1">
      <c r="A353" s="127"/>
      <c r="B353" s="211"/>
      <c r="D353" s="211"/>
    </row>
    <row r="354" ht="15.75" customHeight="1">
      <c r="A354" s="127"/>
      <c r="B354" s="211"/>
      <c r="D354" s="211"/>
    </row>
    <row r="355" ht="15.75" customHeight="1">
      <c r="A355" s="127"/>
      <c r="B355" s="211"/>
      <c r="D355" s="211"/>
    </row>
    <row r="356" ht="15.75" customHeight="1">
      <c r="A356" s="127"/>
      <c r="B356" s="211"/>
      <c r="D356" s="211"/>
    </row>
    <row r="357" ht="15.75" customHeight="1">
      <c r="A357" s="127"/>
      <c r="B357" s="211"/>
      <c r="D357" s="211"/>
    </row>
    <row r="358" ht="15.75" customHeight="1">
      <c r="A358" s="127"/>
      <c r="B358" s="211"/>
      <c r="D358" s="211"/>
    </row>
    <row r="359" ht="15.75" customHeight="1">
      <c r="A359" s="127"/>
      <c r="B359" s="211"/>
      <c r="D359" s="211"/>
    </row>
    <row r="360" ht="15.75" customHeight="1">
      <c r="A360" s="127"/>
      <c r="B360" s="211"/>
      <c r="D360" s="211"/>
    </row>
    <row r="361" ht="15.75" customHeight="1">
      <c r="A361" s="127"/>
      <c r="B361" s="211"/>
      <c r="D361" s="211"/>
    </row>
    <row r="362" ht="15.75" customHeight="1">
      <c r="A362" s="127"/>
      <c r="B362" s="211"/>
      <c r="D362" s="211"/>
    </row>
    <row r="363" ht="15.75" customHeight="1">
      <c r="A363" s="127"/>
      <c r="B363" s="211"/>
      <c r="D363" s="211"/>
    </row>
    <row r="364" ht="15.75" customHeight="1">
      <c r="A364" s="127"/>
      <c r="B364" s="211"/>
      <c r="D364" s="211"/>
    </row>
    <row r="365" ht="15.75" customHeight="1">
      <c r="A365" s="127"/>
      <c r="B365" s="211"/>
      <c r="D365" s="211"/>
    </row>
    <row r="366" ht="15.75" customHeight="1">
      <c r="A366" s="127"/>
      <c r="B366" s="211"/>
      <c r="D366" s="211"/>
    </row>
    <row r="367" ht="15.75" customHeight="1">
      <c r="A367" s="127"/>
      <c r="B367" s="211"/>
      <c r="D367" s="211"/>
    </row>
    <row r="368" ht="15.75" customHeight="1">
      <c r="A368" s="127"/>
      <c r="B368" s="211"/>
      <c r="D368" s="211"/>
    </row>
    <row r="369" ht="15.75" customHeight="1">
      <c r="A369" s="127"/>
      <c r="B369" s="211"/>
      <c r="D369" s="211"/>
    </row>
    <row r="370" ht="15.75" customHeight="1">
      <c r="A370" s="127"/>
      <c r="B370" s="211"/>
      <c r="D370" s="211"/>
    </row>
    <row r="371" ht="15.75" customHeight="1">
      <c r="A371" s="127"/>
      <c r="B371" s="211"/>
      <c r="D371" s="211"/>
    </row>
    <row r="372" ht="15.75" customHeight="1">
      <c r="A372" s="127"/>
      <c r="B372" s="211"/>
      <c r="D372" s="211"/>
    </row>
    <row r="373" ht="15.75" customHeight="1">
      <c r="A373" s="127"/>
      <c r="B373" s="211"/>
      <c r="D373" s="211"/>
    </row>
    <row r="374" ht="15.75" customHeight="1">
      <c r="A374" s="127"/>
      <c r="B374" s="211"/>
      <c r="D374" s="211"/>
    </row>
    <row r="375" ht="15.75" customHeight="1">
      <c r="A375" s="127"/>
      <c r="B375" s="211"/>
      <c r="D375" s="211"/>
    </row>
    <row r="376" ht="15.75" customHeight="1">
      <c r="A376" s="127"/>
      <c r="B376" s="211"/>
      <c r="D376" s="211"/>
    </row>
    <row r="377" ht="15.75" customHeight="1">
      <c r="A377" s="127"/>
      <c r="B377" s="211"/>
      <c r="D377" s="211"/>
    </row>
    <row r="378" ht="15.75" customHeight="1">
      <c r="A378" s="127"/>
      <c r="B378" s="211"/>
      <c r="D378" s="211"/>
    </row>
    <row r="379" ht="15.75" customHeight="1">
      <c r="A379" s="127"/>
      <c r="B379" s="211"/>
      <c r="D379" s="211"/>
    </row>
    <row r="380" ht="15.75" customHeight="1">
      <c r="A380" s="127"/>
      <c r="B380" s="211"/>
      <c r="D380" s="211"/>
    </row>
    <row r="381" ht="15.75" customHeight="1">
      <c r="A381" s="127"/>
      <c r="B381" s="211"/>
      <c r="D381" s="211"/>
    </row>
    <row r="382" ht="15.75" customHeight="1">
      <c r="A382" s="127"/>
      <c r="B382" s="211"/>
      <c r="D382" s="211"/>
    </row>
    <row r="383" ht="15.75" customHeight="1">
      <c r="A383" s="127"/>
      <c r="B383" s="211"/>
      <c r="D383" s="211"/>
    </row>
    <row r="384" ht="15.75" customHeight="1">
      <c r="A384" s="127"/>
      <c r="B384" s="211"/>
      <c r="D384" s="211"/>
    </row>
    <row r="385" ht="15.75" customHeight="1">
      <c r="A385" s="127"/>
      <c r="B385" s="211"/>
      <c r="D385" s="211"/>
    </row>
    <row r="386" ht="15.75" customHeight="1">
      <c r="A386" s="127"/>
      <c r="B386" s="211"/>
      <c r="D386" s="211"/>
    </row>
    <row r="387" ht="15.75" customHeight="1">
      <c r="A387" s="127"/>
      <c r="B387" s="211"/>
      <c r="D387" s="211"/>
    </row>
    <row r="388" ht="15.75" customHeight="1">
      <c r="A388" s="127"/>
      <c r="B388" s="211"/>
      <c r="D388" s="211"/>
    </row>
    <row r="389" ht="15.75" customHeight="1">
      <c r="A389" s="127"/>
      <c r="B389" s="211"/>
      <c r="D389" s="211"/>
    </row>
    <row r="390" ht="15.75" customHeight="1">
      <c r="A390" s="127"/>
      <c r="B390" s="211"/>
      <c r="D390" s="211"/>
    </row>
    <row r="391" ht="15.75" customHeight="1">
      <c r="A391" s="127"/>
      <c r="B391" s="211"/>
      <c r="D391" s="211"/>
    </row>
    <row r="392" ht="15.75" customHeight="1">
      <c r="A392" s="127"/>
      <c r="B392" s="211"/>
      <c r="D392" s="211"/>
    </row>
    <row r="393" ht="15.75" customHeight="1">
      <c r="A393" s="127"/>
      <c r="B393" s="211"/>
      <c r="D393" s="211"/>
    </row>
    <row r="394" ht="15.75" customHeight="1">
      <c r="A394" s="127"/>
      <c r="B394" s="211"/>
      <c r="D394" s="211"/>
    </row>
    <row r="395" ht="15.75" customHeight="1">
      <c r="A395" s="127"/>
      <c r="B395" s="211"/>
      <c r="D395" s="211"/>
    </row>
    <row r="396" ht="15.75" customHeight="1">
      <c r="A396" s="127"/>
      <c r="B396" s="211"/>
      <c r="D396" s="211"/>
    </row>
    <row r="397" ht="15.75" customHeight="1">
      <c r="A397" s="127"/>
      <c r="B397" s="211"/>
      <c r="D397" s="211"/>
    </row>
    <row r="398" ht="15.75" customHeight="1">
      <c r="A398" s="127"/>
      <c r="B398" s="211"/>
      <c r="D398" s="211"/>
    </row>
    <row r="399" ht="15.75" customHeight="1">
      <c r="A399" s="127"/>
      <c r="B399" s="211"/>
      <c r="D399" s="211"/>
    </row>
    <row r="400" ht="15.75" customHeight="1">
      <c r="A400" s="127"/>
      <c r="B400" s="211"/>
      <c r="D400" s="211"/>
    </row>
    <row r="401" ht="15.75" customHeight="1">
      <c r="A401" s="127"/>
      <c r="B401" s="211"/>
      <c r="D401" s="211"/>
    </row>
    <row r="402" ht="15.75" customHeight="1">
      <c r="A402" s="127"/>
      <c r="B402" s="211"/>
      <c r="D402" s="211"/>
    </row>
    <row r="403" ht="15.75" customHeight="1">
      <c r="A403" s="127"/>
      <c r="B403" s="211"/>
      <c r="D403" s="211"/>
    </row>
    <row r="404" ht="15.75" customHeight="1">
      <c r="A404" s="127"/>
      <c r="B404" s="211"/>
      <c r="D404" s="211"/>
    </row>
    <row r="405" ht="15.75" customHeight="1">
      <c r="A405" s="127"/>
      <c r="B405" s="211"/>
      <c r="D405" s="211"/>
    </row>
    <row r="406" ht="15.75" customHeight="1">
      <c r="A406" s="127"/>
      <c r="B406" s="211"/>
      <c r="D406" s="211"/>
    </row>
    <row r="407" ht="15.75" customHeight="1">
      <c r="A407" s="127"/>
      <c r="B407" s="211"/>
      <c r="D407" s="211"/>
    </row>
    <row r="408" ht="15.75" customHeight="1">
      <c r="A408" s="127"/>
      <c r="B408" s="211"/>
      <c r="D408" s="211"/>
    </row>
    <row r="409" ht="15.75" customHeight="1">
      <c r="A409" s="127"/>
      <c r="B409" s="211"/>
      <c r="D409" s="211"/>
    </row>
    <row r="410" ht="15.75" customHeight="1">
      <c r="A410" s="127"/>
      <c r="B410" s="211"/>
      <c r="D410" s="211"/>
    </row>
    <row r="411" ht="15.75" customHeight="1">
      <c r="A411" s="127"/>
      <c r="B411" s="211"/>
      <c r="D411" s="211"/>
    </row>
    <row r="412" ht="15.75" customHeight="1">
      <c r="A412" s="127"/>
      <c r="B412" s="211"/>
      <c r="D412" s="211"/>
    </row>
    <row r="413" ht="15.75" customHeight="1">
      <c r="A413" s="127"/>
      <c r="B413" s="211"/>
      <c r="D413" s="211"/>
    </row>
    <row r="414" ht="15.75" customHeight="1">
      <c r="A414" s="127"/>
      <c r="B414" s="211"/>
      <c r="D414" s="211"/>
    </row>
    <row r="415" ht="15.75" customHeight="1">
      <c r="A415" s="127"/>
      <c r="B415" s="211"/>
      <c r="D415" s="211"/>
    </row>
    <row r="416" ht="15.75" customHeight="1">
      <c r="A416" s="127"/>
      <c r="B416" s="211"/>
      <c r="D416" s="211"/>
    </row>
    <row r="417" ht="15.75" customHeight="1">
      <c r="A417" s="127"/>
      <c r="B417" s="211"/>
      <c r="D417" s="211"/>
    </row>
    <row r="418" ht="15.75" customHeight="1">
      <c r="A418" s="127"/>
      <c r="B418" s="211"/>
      <c r="D418" s="211"/>
    </row>
    <row r="419" ht="15.75" customHeight="1">
      <c r="A419" s="127"/>
      <c r="B419" s="211"/>
      <c r="D419" s="211"/>
    </row>
    <row r="420" ht="15.75" customHeight="1">
      <c r="A420" s="127"/>
      <c r="B420" s="211"/>
      <c r="D420" s="211"/>
    </row>
    <row r="421" ht="15.75" customHeight="1">
      <c r="A421" s="127"/>
      <c r="B421" s="211"/>
      <c r="D421" s="211"/>
    </row>
    <row r="422" ht="15.75" customHeight="1">
      <c r="A422" s="127"/>
      <c r="B422" s="211"/>
      <c r="D422" s="211"/>
    </row>
    <row r="423" ht="15.75" customHeight="1">
      <c r="A423" s="127"/>
      <c r="B423" s="211"/>
      <c r="D423" s="211"/>
    </row>
    <row r="424" ht="15.75" customHeight="1">
      <c r="A424" s="127"/>
      <c r="B424" s="211"/>
      <c r="D424" s="211"/>
    </row>
    <row r="425" ht="15.75" customHeight="1">
      <c r="A425" s="127"/>
      <c r="B425" s="211"/>
      <c r="D425" s="211"/>
    </row>
    <row r="426" ht="15.75" customHeight="1">
      <c r="A426" s="127"/>
      <c r="B426" s="211"/>
      <c r="D426" s="211"/>
    </row>
    <row r="427" ht="15.75" customHeight="1">
      <c r="A427" s="127"/>
      <c r="B427" s="211"/>
      <c r="D427" s="211"/>
    </row>
    <row r="428" ht="15.75" customHeight="1">
      <c r="A428" s="127"/>
      <c r="B428" s="211"/>
      <c r="D428" s="211"/>
    </row>
    <row r="429" ht="15.75" customHeight="1">
      <c r="A429" s="127"/>
      <c r="B429" s="211"/>
      <c r="D429" s="211"/>
    </row>
    <row r="430" ht="15.75" customHeight="1">
      <c r="A430" s="127"/>
      <c r="B430" s="211"/>
      <c r="D430" s="211"/>
    </row>
    <row r="431" ht="15.75" customHeight="1">
      <c r="A431" s="127"/>
      <c r="B431" s="211"/>
      <c r="D431" s="211"/>
    </row>
    <row r="432" ht="15.75" customHeight="1">
      <c r="A432" s="127"/>
      <c r="B432" s="211"/>
      <c r="D432" s="211"/>
    </row>
    <row r="433" ht="15.75" customHeight="1">
      <c r="A433" s="127"/>
      <c r="B433" s="211"/>
      <c r="D433" s="211"/>
    </row>
    <row r="434" ht="15.75" customHeight="1">
      <c r="A434" s="127"/>
      <c r="B434" s="211"/>
      <c r="D434" s="211"/>
    </row>
    <row r="435" ht="15.75" customHeight="1">
      <c r="A435" s="127"/>
      <c r="B435" s="211"/>
      <c r="D435" s="211"/>
    </row>
    <row r="436" ht="15.75" customHeight="1">
      <c r="A436" s="127"/>
      <c r="B436" s="211"/>
      <c r="D436" s="211"/>
    </row>
    <row r="437" ht="15.75" customHeight="1">
      <c r="A437" s="127"/>
      <c r="B437" s="211"/>
      <c r="D437" s="211"/>
    </row>
    <row r="438" ht="15.75" customHeight="1">
      <c r="A438" s="127"/>
      <c r="B438" s="211"/>
      <c r="D438" s="211"/>
    </row>
    <row r="439" ht="15.75" customHeight="1">
      <c r="A439" s="127"/>
      <c r="B439" s="211"/>
      <c r="D439" s="211"/>
    </row>
    <row r="440" ht="15.75" customHeight="1">
      <c r="A440" s="127"/>
      <c r="B440" s="211"/>
      <c r="D440" s="211"/>
    </row>
    <row r="441" ht="15.75" customHeight="1">
      <c r="A441" s="127"/>
      <c r="B441" s="211"/>
      <c r="D441" s="211"/>
    </row>
    <row r="442" ht="15.75" customHeight="1">
      <c r="A442" s="127"/>
      <c r="B442" s="211"/>
      <c r="D442" s="211"/>
    </row>
    <row r="443" ht="15.75" customHeight="1">
      <c r="A443" s="127"/>
      <c r="B443" s="211"/>
      <c r="D443" s="211"/>
    </row>
    <row r="444" ht="15.75" customHeight="1">
      <c r="A444" s="127"/>
      <c r="B444" s="211"/>
      <c r="D444" s="211"/>
    </row>
    <row r="445" ht="15.75" customHeight="1">
      <c r="A445" s="127"/>
      <c r="B445" s="211"/>
      <c r="D445" s="211"/>
    </row>
    <row r="446" ht="15.75" customHeight="1">
      <c r="A446" s="127"/>
      <c r="B446" s="211"/>
      <c r="D446" s="211"/>
    </row>
    <row r="447" ht="15.75" customHeight="1">
      <c r="A447" s="127"/>
      <c r="B447" s="211"/>
      <c r="D447" s="211"/>
    </row>
    <row r="448" ht="15.75" customHeight="1">
      <c r="A448" s="127"/>
      <c r="B448" s="211"/>
      <c r="D448" s="211"/>
    </row>
    <row r="449" ht="15.75" customHeight="1">
      <c r="A449" s="127"/>
      <c r="B449" s="211"/>
      <c r="D449" s="211"/>
    </row>
    <row r="450" ht="15.75" customHeight="1">
      <c r="A450" s="127"/>
      <c r="B450" s="211"/>
      <c r="D450" s="211"/>
    </row>
    <row r="451" ht="15.75" customHeight="1">
      <c r="A451" s="127"/>
      <c r="B451" s="211"/>
      <c r="D451" s="211"/>
    </row>
    <row r="452" ht="15.75" customHeight="1">
      <c r="A452" s="127"/>
      <c r="B452" s="211"/>
      <c r="D452" s="211"/>
    </row>
    <row r="453" ht="15.75" customHeight="1">
      <c r="A453" s="127"/>
      <c r="B453" s="211"/>
      <c r="D453" s="211"/>
    </row>
    <row r="454" ht="15.75" customHeight="1">
      <c r="A454" s="127"/>
      <c r="B454" s="211"/>
      <c r="D454" s="211"/>
    </row>
    <row r="455" ht="15.75" customHeight="1">
      <c r="A455" s="127"/>
      <c r="B455" s="211"/>
      <c r="D455" s="211"/>
    </row>
    <row r="456" ht="15.75" customHeight="1">
      <c r="A456" s="127"/>
      <c r="B456" s="211"/>
      <c r="D456" s="211"/>
    </row>
    <row r="457" ht="15.75" customHeight="1">
      <c r="A457" s="127"/>
      <c r="B457" s="211"/>
      <c r="D457" s="211"/>
    </row>
    <row r="458" ht="15.75" customHeight="1">
      <c r="A458" s="127"/>
      <c r="B458" s="211"/>
      <c r="D458" s="211"/>
    </row>
    <row r="459" ht="15.75" customHeight="1">
      <c r="A459" s="127"/>
      <c r="B459" s="211"/>
      <c r="D459" s="211"/>
    </row>
    <row r="460" ht="15.75" customHeight="1">
      <c r="A460" s="127"/>
      <c r="B460" s="211"/>
      <c r="D460" s="211"/>
    </row>
    <row r="461" ht="15.75" customHeight="1">
      <c r="A461" s="127"/>
      <c r="B461" s="211"/>
      <c r="D461" s="211"/>
    </row>
    <row r="462" ht="15.75" customHeight="1">
      <c r="A462" s="127"/>
      <c r="B462" s="211"/>
      <c r="D462" s="211"/>
    </row>
    <row r="463" ht="15.75" customHeight="1">
      <c r="A463" s="127"/>
      <c r="B463" s="211"/>
      <c r="D463" s="211"/>
    </row>
    <row r="464" ht="15.75" customHeight="1">
      <c r="A464" s="127"/>
      <c r="B464" s="211"/>
      <c r="D464" s="211"/>
    </row>
    <row r="465" ht="15.75" customHeight="1">
      <c r="A465" s="127"/>
      <c r="B465" s="211"/>
      <c r="D465" s="211"/>
    </row>
    <row r="466" ht="15.75" customHeight="1">
      <c r="A466" s="127"/>
      <c r="B466" s="211"/>
      <c r="D466" s="211"/>
    </row>
    <row r="467" ht="15.75" customHeight="1">
      <c r="A467" s="127"/>
      <c r="B467" s="211"/>
      <c r="D467" s="211"/>
    </row>
    <row r="468" ht="15.75" customHeight="1">
      <c r="A468" s="127"/>
      <c r="B468" s="211"/>
      <c r="D468" s="211"/>
    </row>
    <row r="469" ht="15.75" customHeight="1">
      <c r="A469" s="127"/>
      <c r="B469" s="211"/>
      <c r="D469" s="211"/>
    </row>
    <row r="470" ht="15.75" customHeight="1">
      <c r="A470" s="127"/>
      <c r="B470" s="211"/>
      <c r="D470" s="211"/>
    </row>
    <row r="471" ht="15.75" customHeight="1">
      <c r="A471" s="127"/>
      <c r="B471" s="211"/>
      <c r="D471" s="211"/>
    </row>
    <row r="472" ht="15.75" customHeight="1">
      <c r="A472" s="127"/>
      <c r="B472" s="211"/>
      <c r="D472" s="211"/>
    </row>
    <row r="473" ht="15.75" customHeight="1">
      <c r="A473" s="127"/>
      <c r="B473" s="211"/>
      <c r="D473" s="211"/>
    </row>
    <row r="474" ht="15.75" customHeight="1">
      <c r="A474" s="127"/>
      <c r="B474" s="211"/>
      <c r="D474" s="211"/>
    </row>
    <row r="475" ht="15.75" customHeight="1">
      <c r="A475" s="127"/>
      <c r="B475" s="211"/>
      <c r="D475" s="211"/>
    </row>
    <row r="476" ht="15.75" customHeight="1">
      <c r="A476" s="127"/>
      <c r="B476" s="211"/>
      <c r="D476" s="211"/>
    </row>
    <row r="477" ht="15.75" customHeight="1">
      <c r="A477" s="127"/>
      <c r="B477" s="211"/>
      <c r="D477" s="211"/>
    </row>
    <row r="478" ht="15.75" customHeight="1">
      <c r="A478" s="127"/>
      <c r="B478" s="211"/>
      <c r="D478" s="211"/>
    </row>
    <row r="479" ht="15.75" customHeight="1">
      <c r="A479" s="127"/>
      <c r="B479" s="211"/>
      <c r="D479" s="211"/>
    </row>
    <row r="480" ht="15.75" customHeight="1">
      <c r="A480" s="127"/>
      <c r="B480" s="211"/>
      <c r="D480" s="211"/>
    </row>
    <row r="481" ht="15.75" customHeight="1">
      <c r="A481" s="127"/>
      <c r="B481" s="211"/>
      <c r="D481" s="211"/>
    </row>
    <row r="482" ht="15.75" customHeight="1">
      <c r="A482" s="127"/>
      <c r="B482" s="211"/>
      <c r="D482" s="211"/>
    </row>
    <row r="483" ht="15.75" customHeight="1">
      <c r="A483" s="127"/>
      <c r="B483" s="211"/>
      <c r="D483" s="211"/>
    </row>
    <row r="484" ht="15.75" customHeight="1">
      <c r="A484" s="127"/>
      <c r="B484" s="211"/>
      <c r="D484" s="211"/>
    </row>
    <row r="485" ht="15.75" customHeight="1">
      <c r="A485" s="127"/>
      <c r="B485" s="211"/>
      <c r="D485" s="211"/>
    </row>
    <row r="486" ht="15.75" customHeight="1">
      <c r="A486" s="127"/>
      <c r="B486" s="211"/>
      <c r="D486" s="211"/>
    </row>
    <row r="487" ht="15.75" customHeight="1">
      <c r="A487" s="127"/>
      <c r="B487" s="211"/>
      <c r="D487" s="211"/>
    </row>
    <row r="488" ht="15.75" customHeight="1">
      <c r="A488" s="127"/>
      <c r="B488" s="211"/>
      <c r="D488" s="211"/>
    </row>
    <row r="489" ht="15.75" customHeight="1">
      <c r="A489" s="127"/>
      <c r="B489" s="211"/>
      <c r="D489" s="211"/>
    </row>
    <row r="490" ht="15.75" customHeight="1">
      <c r="A490" s="127"/>
      <c r="B490" s="211"/>
      <c r="D490" s="211"/>
    </row>
    <row r="491" ht="15.75" customHeight="1">
      <c r="A491" s="127"/>
      <c r="B491" s="211"/>
      <c r="D491" s="211"/>
    </row>
    <row r="492" ht="15.75" customHeight="1">
      <c r="A492" s="127"/>
      <c r="B492" s="211"/>
      <c r="D492" s="211"/>
    </row>
    <row r="493" ht="15.75" customHeight="1">
      <c r="A493" s="127"/>
      <c r="B493" s="211"/>
      <c r="D493" s="211"/>
    </row>
    <row r="494" ht="15.75" customHeight="1">
      <c r="A494" s="127"/>
      <c r="B494" s="211"/>
      <c r="D494" s="211"/>
    </row>
    <row r="495" ht="15.75" customHeight="1">
      <c r="A495" s="127"/>
      <c r="B495" s="211"/>
      <c r="D495" s="211"/>
    </row>
    <row r="496" ht="15.75" customHeight="1">
      <c r="A496" s="127"/>
      <c r="B496" s="211"/>
      <c r="D496" s="211"/>
    </row>
    <row r="497" ht="15.75" customHeight="1">
      <c r="A497" s="127"/>
      <c r="B497" s="211"/>
      <c r="D497" s="211"/>
    </row>
    <row r="498" ht="15.75" customHeight="1">
      <c r="A498" s="127"/>
      <c r="B498" s="211"/>
      <c r="D498" s="211"/>
    </row>
    <row r="499" ht="15.75" customHeight="1">
      <c r="A499" s="127"/>
      <c r="B499" s="211"/>
      <c r="D499" s="211"/>
    </row>
    <row r="500" ht="15.75" customHeight="1">
      <c r="A500" s="127"/>
      <c r="B500" s="211"/>
      <c r="D500" s="211"/>
    </row>
    <row r="501" ht="15.75" customHeight="1">
      <c r="A501" s="127"/>
      <c r="B501" s="211"/>
      <c r="D501" s="211"/>
    </row>
    <row r="502" ht="15.75" customHeight="1">
      <c r="A502" s="127"/>
      <c r="B502" s="211"/>
      <c r="D502" s="211"/>
    </row>
    <row r="503" ht="15.75" customHeight="1">
      <c r="A503" s="127"/>
      <c r="B503" s="211"/>
      <c r="D503" s="211"/>
    </row>
    <row r="504" ht="15.75" customHeight="1">
      <c r="A504" s="127"/>
      <c r="B504" s="211"/>
      <c r="D504" s="211"/>
    </row>
    <row r="505" ht="15.75" customHeight="1">
      <c r="A505" s="127"/>
      <c r="B505" s="211"/>
      <c r="D505" s="211"/>
    </row>
    <row r="506" ht="15.75" customHeight="1">
      <c r="A506" s="127"/>
      <c r="B506" s="211"/>
      <c r="D506" s="211"/>
    </row>
    <row r="507" ht="15.75" customHeight="1">
      <c r="A507" s="127"/>
      <c r="B507" s="211"/>
      <c r="D507" s="211"/>
    </row>
    <row r="508" ht="15.75" customHeight="1">
      <c r="A508" s="127"/>
      <c r="B508" s="211"/>
      <c r="D508" s="211"/>
    </row>
    <row r="509" ht="15.75" customHeight="1">
      <c r="A509" s="127"/>
      <c r="B509" s="211"/>
      <c r="D509" s="211"/>
    </row>
    <row r="510" ht="15.75" customHeight="1">
      <c r="A510" s="127"/>
      <c r="B510" s="211"/>
      <c r="D510" s="211"/>
    </row>
    <row r="511" ht="15.75" customHeight="1">
      <c r="A511" s="127"/>
      <c r="B511" s="211"/>
      <c r="D511" s="211"/>
    </row>
    <row r="512" ht="15.75" customHeight="1">
      <c r="A512" s="127"/>
      <c r="B512" s="211"/>
      <c r="D512" s="211"/>
    </row>
    <row r="513" ht="15.75" customHeight="1">
      <c r="A513" s="127"/>
      <c r="B513" s="211"/>
      <c r="D513" s="211"/>
    </row>
    <row r="514" ht="15.75" customHeight="1">
      <c r="A514" s="127"/>
      <c r="B514" s="211"/>
      <c r="D514" s="211"/>
    </row>
    <row r="515" ht="15.75" customHeight="1">
      <c r="A515" s="127"/>
      <c r="B515" s="211"/>
      <c r="D515" s="211"/>
    </row>
    <row r="516" ht="15.75" customHeight="1">
      <c r="A516" s="127"/>
      <c r="B516" s="211"/>
      <c r="D516" s="211"/>
    </row>
    <row r="517" ht="15.75" customHeight="1">
      <c r="A517" s="127"/>
      <c r="B517" s="211"/>
      <c r="D517" s="211"/>
    </row>
    <row r="518" ht="15.75" customHeight="1">
      <c r="A518" s="127"/>
      <c r="B518" s="211"/>
      <c r="D518" s="211"/>
    </row>
    <row r="519" ht="15.75" customHeight="1">
      <c r="A519" s="127"/>
      <c r="B519" s="211"/>
      <c r="D519" s="211"/>
    </row>
    <row r="520" ht="15.75" customHeight="1">
      <c r="A520" s="127"/>
      <c r="B520" s="211"/>
      <c r="D520" s="211"/>
    </row>
    <row r="521" ht="15.75" customHeight="1">
      <c r="A521" s="127"/>
      <c r="B521" s="211"/>
      <c r="D521" s="211"/>
    </row>
    <row r="522" ht="15.75" customHeight="1">
      <c r="A522" s="127"/>
      <c r="B522" s="211"/>
      <c r="D522" s="211"/>
    </row>
    <row r="523" ht="15.75" customHeight="1">
      <c r="A523" s="127"/>
      <c r="B523" s="211"/>
      <c r="D523" s="211"/>
    </row>
    <row r="524" ht="15.75" customHeight="1">
      <c r="A524" s="127"/>
      <c r="B524" s="211"/>
      <c r="D524" s="211"/>
    </row>
    <row r="525" ht="15.75" customHeight="1">
      <c r="A525" s="127"/>
      <c r="B525" s="211"/>
      <c r="D525" s="211"/>
    </row>
    <row r="526" ht="15.75" customHeight="1">
      <c r="A526" s="127"/>
      <c r="B526" s="211"/>
      <c r="D526" s="211"/>
    </row>
    <row r="527" ht="15.75" customHeight="1">
      <c r="A527" s="127"/>
      <c r="B527" s="211"/>
      <c r="D527" s="211"/>
    </row>
    <row r="528" ht="15.75" customHeight="1">
      <c r="A528" s="127"/>
      <c r="B528" s="211"/>
      <c r="D528" s="211"/>
    </row>
    <row r="529" ht="15.75" customHeight="1">
      <c r="A529" s="127"/>
      <c r="B529" s="211"/>
      <c r="D529" s="211"/>
    </row>
    <row r="530" ht="15.75" customHeight="1">
      <c r="A530" s="127"/>
      <c r="B530" s="211"/>
      <c r="D530" s="211"/>
    </row>
    <row r="531" ht="15.75" customHeight="1">
      <c r="A531" s="127"/>
      <c r="B531" s="211"/>
      <c r="D531" s="211"/>
    </row>
    <row r="532" ht="15.75" customHeight="1">
      <c r="A532" s="127"/>
      <c r="B532" s="211"/>
      <c r="D532" s="211"/>
    </row>
    <row r="533" ht="15.75" customHeight="1">
      <c r="A533" s="127"/>
      <c r="B533" s="211"/>
      <c r="D533" s="211"/>
    </row>
    <row r="534" ht="15.75" customHeight="1">
      <c r="A534" s="127"/>
      <c r="B534" s="211"/>
      <c r="D534" s="211"/>
    </row>
    <row r="535" ht="15.75" customHeight="1">
      <c r="A535" s="127"/>
      <c r="B535" s="211"/>
      <c r="D535" s="211"/>
    </row>
    <row r="536" ht="15.75" customHeight="1">
      <c r="A536" s="127"/>
      <c r="B536" s="211"/>
      <c r="D536" s="211"/>
    </row>
    <row r="537" ht="15.75" customHeight="1">
      <c r="A537" s="127"/>
      <c r="B537" s="211"/>
      <c r="D537" s="211"/>
    </row>
    <row r="538" ht="15.75" customHeight="1">
      <c r="A538" s="127"/>
      <c r="B538" s="211"/>
      <c r="D538" s="211"/>
    </row>
    <row r="539" ht="15.75" customHeight="1">
      <c r="A539" s="127"/>
      <c r="B539" s="211"/>
      <c r="D539" s="211"/>
    </row>
    <row r="540" ht="15.75" customHeight="1">
      <c r="A540" s="127"/>
      <c r="B540" s="211"/>
      <c r="D540" s="211"/>
    </row>
    <row r="541" ht="15.75" customHeight="1">
      <c r="A541" s="127"/>
      <c r="B541" s="211"/>
      <c r="D541" s="211"/>
    </row>
    <row r="542" ht="15.75" customHeight="1">
      <c r="A542" s="127"/>
      <c r="B542" s="211"/>
      <c r="D542" s="211"/>
    </row>
    <row r="543" ht="15.75" customHeight="1">
      <c r="A543" s="127"/>
      <c r="B543" s="211"/>
      <c r="D543" s="211"/>
    </row>
    <row r="544" ht="15.75" customHeight="1">
      <c r="A544" s="127"/>
      <c r="B544" s="211"/>
      <c r="D544" s="211"/>
    </row>
    <row r="545" ht="15.75" customHeight="1">
      <c r="A545" s="127"/>
      <c r="B545" s="211"/>
      <c r="D545" s="211"/>
    </row>
    <row r="546" ht="15.75" customHeight="1">
      <c r="A546" s="127"/>
      <c r="B546" s="211"/>
      <c r="D546" s="211"/>
    </row>
    <row r="547" ht="15.75" customHeight="1">
      <c r="A547" s="127"/>
      <c r="B547" s="211"/>
      <c r="D547" s="211"/>
    </row>
    <row r="548" ht="15.75" customHeight="1">
      <c r="A548" s="127"/>
      <c r="B548" s="211"/>
      <c r="D548" s="211"/>
    </row>
    <row r="549" ht="15.75" customHeight="1">
      <c r="A549" s="127"/>
      <c r="B549" s="211"/>
      <c r="D549" s="211"/>
    </row>
    <row r="550" ht="15.75" customHeight="1">
      <c r="A550" s="127"/>
      <c r="B550" s="211"/>
      <c r="D550" s="211"/>
    </row>
    <row r="551" ht="15.75" customHeight="1">
      <c r="A551" s="127"/>
      <c r="B551" s="211"/>
      <c r="D551" s="211"/>
    </row>
    <row r="552" ht="15.75" customHeight="1">
      <c r="A552" s="127"/>
      <c r="B552" s="211"/>
      <c r="D552" s="211"/>
    </row>
    <row r="553" ht="15.75" customHeight="1">
      <c r="A553" s="127"/>
      <c r="B553" s="211"/>
      <c r="D553" s="211"/>
    </row>
    <row r="554" ht="15.75" customHeight="1">
      <c r="A554" s="127"/>
      <c r="B554" s="211"/>
      <c r="D554" s="211"/>
    </row>
    <row r="555" ht="15.75" customHeight="1">
      <c r="A555" s="127"/>
      <c r="B555" s="211"/>
      <c r="D555" s="211"/>
    </row>
    <row r="556" ht="15.75" customHeight="1">
      <c r="A556" s="127"/>
      <c r="B556" s="211"/>
      <c r="D556" s="211"/>
    </row>
    <row r="557" ht="15.75" customHeight="1">
      <c r="A557" s="127"/>
      <c r="B557" s="211"/>
      <c r="D557" s="211"/>
    </row>
    <row r="558" ht="15.75" customHeight="1">
      <c r="A558" s="127"/>
      <c r="B558" s="211"/>
      <c r="D558" s="211"/>
    </row>
    <row r="559" ht="15.75" customHeight="1">
      <c r="A559" s="127"/>
      <c r="B559" s="211"/>
      <c r="D559" s="211"/>
    </row>
    <row r="560" ht="15.75" customHeight="1">
      <c r="A560" s="127"/>
      <c r="B560" s="211"/>
      <c r="D560" s="211"/>
    </row>
    <row r="561" ht="15.75" customHeight="1">
      <c r="A561" s="127"/>
      <c r="B561" s="211"/>
      <c r="D561" s="211"/>
    </row>
    <row r="562" ht="15.75" customHeight="1">
      <c r="A562" s="127"/>
      <c r="B562" s="211"/>
      <c r="D562" s="211"/>
    </row>
    <row r="563" ht="15.75" customHeight="1">
      <c r="A563" s="127"/>
      <c r="B563" s="211"/>
      <c r="D563" s="211"/>
    </row>
    <row r="564" ht="15.75" customHeight="1">
      <c r="A564" s="127"/>
      <c r="B564" s="211"/>
      <c r="D564" s="211"/>
    </row>
    <row r="565" ht="15.75" customHeight="1">
      <c r="A565" s="127"/>
      <c r="B565" s="211"/>
      <c r="D565" s="211"/>
    </row>
    <row r="566" ht="15.75" customHeight="1">
      <c r="A566" s="127"/>
      <c r="B566" s="211"/>
      <c r="D566" s="211"/>
    </row>
    <row r="567" ht="15.75" customHeight="1">
      <c r="A567" s="127"/>
      <c r="B567" s="211"/>
      <c r="D567" s="211"/>
    </row>
    <row r="568" ht="15.75" customHeight="1">
      <c r="A568" s="127"/>
      <c r="B568" s="211"/>
      <c r="D568" s="211"/>
    </row>
    <row r="569" ht="15.75" customHeight="1">
      <c r="A569" s="127"/>
      <c r="B569" s="211"/>
      <c r="D569" s="211"/>
    </row>
    <row r="570" ht="15.75" customHeight="1">
      <c r="A570" s="127"/>
      <c r="B570" s="211"/>
      <c r="D570" s="211"/>
    </row>
    <row r="571" ht="15.75" customHeight="1">
      <c r="A571" s="127"/>
      <c r="B571" s="211"/>
      <c r="D571" s="211"/>
    </row>
    <row r="572" ht="15.75" customHeight="1">
      <c r="A572" s="127"/>
      <c r="B572" s="211"/>
      <c r="D572" s="211"/>
    </row>
    <row r="573" ht="15.75" customHeight="1">
      <c r="A573" s="127"/>
      <c r="B573" s="211"/>
      <c r="D573" s="211"/>
    </row>
    <row r="574" ht="15.75" customHeight="1">
      <c r="A574" s="127"/>
      <c r="B574" s="211"/>
      <c r="D574" s="211"/>
    </row>
    <row r="575" ht="15.75" customHeight="1">
      <c r="A575" s="127"/>
      <c r="B575" s="211"/>
      <c r="D575" s="211"/>
    </row>
    <row r="576" ht="15.75" customHeight="1">
      <c r="A576" s="127"/>
      <c r="B576" s="211"/>
      <c r="D576" s="211"/>
    </row>
    <row r="577" ht="15.75" customHeight="1">
      <c r="A577" s="127"/>
      <c r="B577" s="211"/>
      <c r="D577" s="211"/>
    </row>
    <row r="578" ht="15.75" customHeight="1">
      <c r="A578" s="127"/>
      <c r="B578" s="211"/>
      <c r="D578" s="211"/>
    </row>
    <row r="579" ht="15.75" customHeight="1">
      <c r="A579" s="127"/>
      <c r="B579" s="211"/>
      <c r="D579" s="211"/>
    </row>
    <row r="580" ht="15.75" customHeight="1">
      <c r="A580" s="127"/>
      <c r="B580" s="211"/>
      <c r="D580" s="211"/>
    </row>
    <row r="581" ht="15.75" customHeight="1">
      <c r="A581" s="127"/>
      <c r="B581" s="211"/>
      <c r="D581" s="211"/>
    </row>
    <row r="582" ht="15.75" customHeight="1">
      <c r="A582" s="127"/>
      <c r="B582" s="211"/>
      <c r="D582" s="211"/>
    </row>
    <row r="583" ht="15.75" customHeight="1">
      <c r="A583" s="127"/>
      <c r="B583" s="211"/>
      <c r="D583" s="211"/>
    </row>
    <row r="584" ht="15.75" customHeight="1">
      <c r="A584" s="127"/>
      <c r="B584" s="211"/>
      <c r="D584" s="211"/>
    </row>
    <row r="585" ht="15.75" customHeight="1">
      <c r="A585" s="127"/>
      <c r="B585" s="211"/>
      <c r="D585" s="211"/>
    </row>
    <row r="586" ht="15.75" customHeight="1">
      <c r="A586" s="127"/>
      <c r="B586" s="211"/>
      <c r="D586" s="211"/>
    </row>
    <row r="587" ht="15.75" customHeight="1">
      <c r="A587" s="127"/>
      <c r="B587" s="211"/>
      <c r="D587" s="211"/>
    </row>
    <row r="588" ht="15.75" customHeight="1">
      <c r="A588" s="127"/>
      <c r="B588" s="211"/>
      <c r="D588" s="211"/>
    </row>
    <row r="589" ht="15.75" customHeight="1">
      <c r="A589" s="127"/>
      <c r="B589" s="211"/>
      <c r="D589" s="211"/>
    </row>
    <row r="590" ht="15.75" customHeight="1">
      <c r="A590" s="127"/>
      <c r="B590" s="211"/>
      <c r="D590" s="211"/>
    </row>
    <row r="591" ht="15.75" customHeight="1">
      <c r="A591" s="127"/>
      <c r="B591" s="211"/>
      <c r="D591" s="211"/>
    </row>
    <row r="592" ht="15.75" customHeight="1">
      <c r="A592" s="127"/>
      <c r="B592" s="211"/>
      <c r="D592" s="211"/>
    </row>
    <row r="593" ht="15.75" customHeight="1">
      <c r="A593" s="127"/>
      <c r="B593" s="211"/>
      <c r="D593" s="211"/>
    </row>
    <row r="594" ht="15.75" customHeight="1">
      <c r="A594" s="127"/>
      <c r="B594" s="211"/>
      <c r="D594" s="211"/>
    </row>
    <row r="595" ht="15.75" customHeight="1">
      <c r="A595" s="127"/>
      <c r="B595" s="211"/>
      <c r="D595" s="211"/>
    </row>
    <row r="596" ht="15.75" customHeight="1">
      <c r="A596" s="127"/>
      <c r="B596" s="211"/>
      <c r="D596" s="211"/>
    </row>
    <row r="597" ht="15.75" customHeight="1">
      <c r="A597" s="127"/>
      <c r="B597" s="211"/>
      <c r="D597" s="211"/>
    </row>
    <row r="598" ht="15.75" customHeight="1">
      <c r="A598" s="127"/>
      <c r="B598" s="211"/>
      <c r="D598" s="211"/>
    </row>
    <row r="599" ht="15.75" customHeight="1">
      <c r="A599" s="127"/>
      <c r="B599" s="211"/>
      <c r="D599" s="211"/>
    </row>
    <row r="600" ht="15.75" customHeight="1">
      <c r="A600" s="127"/>
      <c r="B600" s="211"/>
      <c r="D600" s="211"/>
    </row>
    <row r="601" ht="15.75" customHeight="1">
      <c r="A601" s="127"/>
      <c r="B601" s="211"/>
      <c r="D601" s="211"/>
    </row>
    <row r="602" ht="15.75" customHeight="1">
      <c r="A602" s="127"/>
      <c r="B602" s="211"/>
      <c r="D602" s="211"/>
    </row>
    <row r="603" ht="15.75" customHeight="1">
      <c r="A603" s="127"/>
      <c r="B603" s="211"/>
      <c r="D603" s="211"/>
    </row>
    <row r="604" ht="15.75" customHeight="1">
      <c r="A604" s="127"/>
      <c r="B604" s="211"/>
      <c r="D604" s="211"/>
    </row>
    <row r="605" ht="15.75" customHeight="1">
      <c r="A605" s="127"/>
      <c r="B605" s="211"/>
      <c r="D605" s="211"/>
    </row>
    <row r="606" ht="15.75" customHeight="1">
      <c r="A606" s="127"/>
      <c r="B606" s="211"/>
      <c r="D606" s="211"/>
    </row>
    <row r="607" ht="15.75" customHeight="1">
      <c r="A607" s="127"/>
      <c r="B607" s="211"/>
      <c r="D607" s="211"/>
    </row>
    <row r="608" ht="15.75" customHeight="1">
      <c r="A608" s="127"/>
      <c r="B608" s="211"/>
      <c r="D608" s="211"/>
    </row>
    <row r="609" ht="15.75" customHeight="1">
      <c r="A609" s="127"/>
      <c r="B609" s="211"/>
      <c r="D609" s="211"/>
    </row>
    <row r="610" ht="15.75" customHeight="1">
      <c r="A610" s="127"/>
      <c r="B610" s="211"/>
      <c r="D610" s="211"/>
    </row>
    <row r="611" ht="15.75" customHeight="1">
      <c r="A611" s="127"/>
      <c r="B611" s="211"/>
      <c r="D611" s="211"/>
    </row>
    <row r="612" ht="15.75" customHeight="1">
      <c r="A612" s="127"/>
      <c r="B612" s="211"/>
      <c r="D612" s="211"/>
    </row>
    <row r="613" ht="15.75" customHeight="1">
      <c r="A613" s="127"/>
      <c r="B613" s="211"/>
      <c r="D613" s="211"/>
    </row>
    <row r="614" ht="15.75" customHeight="1">
      <c r="A614" s="127"/>
      <c r="B614" s="211"/>
      <c r="D614" s="211"/>
    </row>
    <row r="615" ht="15.75" customHeight="1">
      <c r="A615" s="127"/>
      <c r="B615" s="211"/>
      <c r="D615" s="211"/>
    </row>
    <row r="616" ht="15.75" customHeight="1">
      <c r="A616" s="127"/>
      <c r="B616" s="211"/>
      <c r="D616" s="211"/>
    </row>
    <row r="617" ht="15.75" customHeight="1">
      <c r="A617" s="127"/>
      <c r="B617" s="211"/>
      <c r="D617" s="211"/>
    </row>
    <row r="618" ht="15.75" customHeight="1">
      <c r="A618" s="127"/>
      <c r="B618" s="211"/>
      <c r="D618" s="211"/>
    </row>
    <row r="619" ht="15.75" customHeight="1">
      <c r="A619" s="127"/>
      <c r="B619" s="211"/>
      <c r="D619" s="211"/>
    </row>
    <row r="620" ht="15.75" customHeight="1">
      <c r="A620" s="127"/>
      <c r="B620" s="211"/>
      <c r="D620" s="211"/>
    </row>
    <row r="621" ht="15.75" customHeight="1">
      <c r="A621" s="127"/>
      <c r="B621" s="211"/>
      <c r="D621" s="211"/>
    </row>
    <row r="622" ht="15.75" customHeight="1">
      <c r="A622" s="127"/>
      <c r="B622" s="211"/>
      <c r="D622" s="211"/>
    </row>
    <row r="623" ht="15.75" customHeight="1">
      <c r="A623" s="127"/>
      <c r="B623" s="211"/>
      <c r="D623" s="211"/>
    </row>
    <row r="624" ht="15.75" customHeight="1">
      <c r="A624" s="127"/>
      <c r="B624" s="211"/>
      <c r="D624" s="211"/>
    </row>
    <row r="625" ht="15.75" customHeight="1">
      <c r="A625" s="127"/>
      <c r="B625" s="211"/>
      <c r="D625" s="211"/>
    </row>
    <row r="626" ht="15.75" customHeight="1">
      <c r="A626" s="127"/>
      <c r="B626" s="211"/>
      <c r="D626" s="211"/>
    </row>
    <row r="627" ht="15.75" customHeight="1">
      <c r="A627" s="127"/>
      <c r="B627" s="211"/>
      <c r="D627" s="211"/>
    </row>
    <row r="628" ht="15.75" customHeight="1">
      <c r="A628" s="127"/>
      <c r="B628" s="211"/>
      <c r="D628" s="211"/>
    </row>
    <row r="629" ht="15.75" customHeight="1">
      <c r="A629" s="127"/>
      <c r="B629" s="211"/>
      <c r="D629" s="211"/>
    </row>
    <row r="630" ht="15.75" customHeight="1">
      <c r="A630" s="127"/>
      <c r="B630" s="211"/>
      <c r="D630" s="211"/>
    </row>
    <row r="631" ht="15.75" customHeight="1">
      <c r="A631" s="127"/>
      <c r="B631" s="211"/>
      <c r="D631" s="211"/>
    </row>
    <row r="632" ht="15.75" customHeight="1">
      <c r="A632" s="127"/>
      <c r="B632" s="211"/>
      <c r="D632" s="211"/>
    </row>
    <row r="633" ht="15.75" customHeight="1">
      <c r="A633" s="127"/>
      <c r="B633" s="211"/>
      <c r="D633" s="211"/>
    </row>
    <row r="634" ht="15.75" customHeight="1">
      <c r="A634" s="127"/>
      <c r="B634" s="211"/>
      <c r="D634" s="211"/>
    </row>
    <row r="635" ht="15.75" customHeight="1">
      <c r="A635" s="127"/>
      <c r="B635" s="211"/>
      <c r="D635" s="211"/>
    </row>
    <row r="636" ht="15.75" customHeight="1">
      <c r="A636" s="127"/>
      <c r="B636" s="211"/>
      <c r="D636" s="211"/>
    </row>
    <row r="637" ht="15.75" customHeight="1">
      <c r="A637" s="127"/>
      <c r="B637" s="211"/>
      <c r="D637" s="211"/>
    </row>
    <row r="638" ht="15.75" customHeight="1">
      <c r="A638" s="127"/>
      <c r="B638" s="211"/>
      <c r="D638" s="211"/>
    </row>
    <row r="639" ht="15.75" customHeight="1">
      <c r="A639" s="127"/>
      <c r="B639" s="211"/>
      <c r="D639" s="211"/>
    </row>
    <row r="640" ht="15.75" customHeight="1">
      <c r="A640" s="127"/>
      <c r="B640" s="211"/>
      <c r="D640" s="211"/>
    </row>
    <row r="641" ht="15.75" customHeight="1">
      <c r="A641" s="127"/>
      <c r="B641" s="211"/>
      <c r="D641" s="211"/>
    </row>
    <row r="642" ht="15.75" customHeight="1">
      <c r="A642" s="127"/>
      <c r="B642" s="211"/>
      <c r="D642" s="211"/>
    </row>
    <row r="643" ht="15.75" customHeight="1">
      <c r="A643" s="127"/>
      <c r="B643" s="211"/>
      <c r="D643" s="211"/>
    </row>
    <row r="644" ht="15.75" customHeight="1">
      <c r="A644" s="127"/>
      <c r="B644" s="211"/>
      <c r="D644" s="211"/>
    </row>
    <row r="645" ht="15.75" customHeight="1">
      <c r="A645" s="127"/>
      <c r="B645" s="211"/>
      <c r="D645" s="211"/>
    </row>
    <row r="646" ht="15.75" customHeight="1">
      <c r="A646" s="127"/>
      <c r="B646" s="211"/>
      <c r="D646" s="211"/>
    </row>
    <row r="647" ht="15.75" customHeight="1">
      <c r="A647" s="127"/>
      <c r="B647" s="211"/>
      <c r="D647" s="211"/>
    </row>
    <row r="648" ht="15.75" customHeight="1">
      <c r="A648" s="127"/>
      <c r="B648" s="211"/>
      <c r="D648" s="211"/>
    </row>
    <row r="649" ht="15.75" customHeight="1">
      <c r="A649" s="127"/>
      <c r="B649" s="211"/>
      <c r="D649" s="211"/>
    </row>
    <row r="650" ht="15.75" customHeight="1">
      <c r="A650" s="127"/>
      <c r="B650" s="211"/>
      <c r="D650" s="211"/>
    </row>
    <row r="651" ht="15.75" customHeight="1">
      <c r="A651" s="127"/>
      <c r="B651" s="211"/>
      <c r="D651" s="211"/>
    </row>
    <row r="652" ht="15.75" customHeight="1">
      <c r="A652" s="127"/>
      <c r="B652" s="211"/>
      <c r="D652" s="211"/>
    </row>
    <row r="653" ht="15.75" customHeight="1">
      <c r="A653" s="127"/>
      <c r="B653" s="211"/>
      <c r="D653" s="211"/>
    </row>
    <row r="654" ht="15.75" customHeight="1">
      <c r="A654" s="127"/>
      <c r="B654" s="211"/>
      <c r="D654" s="211"/>
    </row>
    <row r="655" ht="15.75" customHeight="1">
      <c r="A655" s="127"/>
      <c r="B655" s="211"/>
      <c r="D655" s="211"/>
    </row>
    <row r="656" ht="15.75" customHeight="1">
      <c r="A656" s="127"/>
      <c r="B656" s="211"/>
      <c r="D656" s="211"/>
    </row>
    <row r="657" ht="15.75" customHeight="1">
      <c r="A657" s="127"/>
      <c r="B657" s="211"/>
      <c r="D657" s="211"/>
    </row>
    <row r="658" ht="15.75" customHeight="1">
      <c r="A658" s="127"/>
      <c r="B658" s="211"/>
      <c r="D658" s="211"/>
    </row>
    <row r="659" ht="15.75" customHeight="1">
      <c r="A659" s="127"/>
      <c r="B659" s="211"/>
      <c r="D659" s="211"/>
    </row>
    <row r="660" ht="15.75" customHeight="1">
      <c r="A660" s="127"/>
      <c r="B660" s="211"/>
      <c r="D660" s="211"/>
    </row>
    <row r="661" ht="15.75" customHeight="1">
      <c r="A661" s="127"/>
      <c r="B661" s="211"/>
      <c r="D661" s="211"/>
    </row>
    <row r="662" ht="15.75" customHeight="1">
      <c r="A662" s="127"/>
      <c r="B662" s="211"/>
      <c r="D662" s="211"/>
    </row>
    <row r="663" ht="15.75" customHeight="1">
      <c r="A663" s="127"/>
      <c r="B663" s="211"/>
      <c r="D663" s="211"/>
    </row>
    <row r="664" ht="15.75" customHeight="1">
      <c r="A664" s="127"/>
      <c r="B664" s="211"/>
      <c r="D664" s="211"/>
    </row>
    <row r="665" ht="15.75" customHeight="1">
      <c r="A665" s="127"/>
      <c r="B665" s="211"/>
      <c r="D665" s="211"/>
    </row>
    <row r="666" ht="15.75" customHeight="1">
      <c r="A666" s="127"/>
      <c r="B666" s="211"/>
      <c r="D666" s="211"/>
    </row>
    <row r="667" ht="15.75" customHeight="1">
      <c r="A667" s="127"/>
      <c r="B667" s="211"/>
      <c r="D667" s="211"/>
    </row>
    <row r="668" ht="15.75" customHeight="1">
      <c r="A668" s="127"/>
      <c r="B668" s="211"/>
      <c r="D668" s="211"/>
    </row>
    <row r="669" ht="15.75" customHeight="1">
      <c r="A669" s="127"/>
      <c r="B669" s="211"/>
      <c r="D669" s="211"/>
    </row>
    <row r="670" ht="15.75" customHeight="1">
      <c r="A670" s="127"/>
      <c r="B670" s="211"/>
      <c r="D670" s="211"/>
    </row>
    <row r="671" ht="15.75" customHeight="1">
      <c r="A671" s="127"/>
      <c r="B671" s="211"/>
      <c r="D671" s="211"/>
    </row>
    <row r="672" ht="15.75" customHeight="1">
      <c r="A672" s="127"/>
      <c r="B672" s="211"/>
      <c r="D672" s="211"/>
    </row>
    <row r="673" ht="15.75" customHeight="1">
      <c r="A673" s="127"/>
      <c r="B673" s="211"/>
      <c r="D673" s="211"/>
    </row>
    <row r="674" ht="15.75" customHeight="1">
      <c r="A674" s="127"/>
      <c r="B674" s="211"/>
      <c r="D674" s="211"/>
    </row>
    <row r="675" ht="15.75" customHeight="1">
      <c r="A675" s="127"/>
      <c r="B675" s="211"/>
      <c r="D675" s="211"/>
    </row>
    <row r="676" ht="15.75" customHeight="1">
      <c r="A676" s="127"/>
      <c r="B676" s="211"/>
      <c r="D676" s="211"/>
    </row>
    <row r="677" ht="15.75" customHeight="1">
      <c r="A677" s="127"/>
      <c r="B677" s="211"/>
      <c r="D677" s="211"/>
    </row>
    <row r="678" ht="15.75" customHeight="1">
      <c r="A678" s="127"/>
      <c r="B678" s="211"/>
      <c r="D678" s="211"/>
    </row>
    <row r="679" ht="15.75" customHeight="1">
      <c r="A679" s="127"/>
      <c r="B679" s="211"/>
      <c r="D679" s="211"/>
    </row>
    <row r="680" ht="15.75" customHeight="1">
      <c r="A680" s="127"/>
      <c r="B680" s="211"/>
      <c r="D680" s="211"/>
    </row>
    <row r="681" ht="15.75" customHeight="1">
      <c r="A681" s="127"/>
      <c r="B681" s="211"/>
      <c r="D681" s="211"/>
    </row>
    <row r="682" ht="15.75" customHeight="1">
      <c r="A682" s="127"/>
      <c r="B682" s="211"/>
      <c r="D682" s="211"/>
    </row>
    <row r="683" ht="15.75" customHeight="1">
      <c r="A683" s="127"/>
      <c r="B683" s="211"/>
      <c r="D683" s="211"/>
    </row>
    <row r="684" ht="15.75" customHeight="1">
      <c r="A684" s="127"/>
      <c r="B684" s="211"/>
      <c r="D684" s="211"/>
    </row>
    <row r="685" ht="15.75" customHeight="1">
      <c r="A685" s="127"/>
      <c r="B685" s="211"/>
      <c r="D685" s="211"/>
    </row>
    <row r="686" ht="15.75" customHeight="1">
      <c r="A686" s="127"/>
      <c r="B686" s="211"/>
      <c r="D686" s="211"/>
    </row>
    <row r="687" ht="15.75" customHeight="1">
      <c r="A687" s="127"/>
      <c r="B687" s="211"/>
      <c r="D687" s="211"/>
    </row>
    <row r="688" ht="15.75" customHeight="1">
      <c r="A688" s="127"/>
      <c r="B688" s="211"/>
      <c r="D688" s="211"/>
    </row>
    <row r="689" ht="15.75" customHeight="1">
      <c r="A689" s="127"/>
      <c r="B689" s="211"/>
      <c r="D689" s="211"/>
    </row>
    <row r="690" ht="15.75" customHeight="1">
      <c r="A690" s="127"/>
      <c r="B690" s="211"/>
      <c r="D690" s="211"/>
    </row>
    <row r="691" ht="15.75" customHeight="1">
      <c r="A691" s="127"/>
      <c r="B691" s="211"/>
      <c r="D691" s="211"/>
    </row>
    <row r="692" ht="15.75" customHeight="1">
      <c r="A692" s="127"/>
      <c r="B692" s="211"/>
      <c r="D692" s="211"/>
    </row>
    <row r="693" ht="15.75" customHeight="1">
      <c r="A693" s="127"/>
      <c r="B693" s="211"/>
      <c r="D693" s="211"/>
    </row>
    <row r="694" ht="15.75" customHeight="1">
      <c r="A694" s="127"/>
      <c r="B694" s="211"/>
      <c r="D694" s="211"/>
    </row>
    <row r="695" ht="15.75" customHeight="1">
      <c r="A695" s="127"/>
      <c r="B695" s="211"/>
      <c r="D695" s="211"/>
    </row>
    <row r="696" ht="15.75" customHeight="1">
      <c r="A696" s="127"/>
      <c r="B696" s="211"/>
      <c r="D696" s="211"/>
    </row>
    <row r="697" ht="15.75" customHeight="1">
      <c r="A697" s="127"/>
      <c r="B697" s="211"/>
      <c r="D697" s="211"/>
    </row>
    <row r="698" ht="15.75" customHeight="1">
      <c r="A698" s="127"/>
      <c r="B698" s="211"/>
      <c r="D698" s="211"/>
    </row>
    <row r="699" ht="15.75" customHeight="1">
      <c r="A699" s="127"/>
      <c r="B699" s="211"/>
      <c r="D699" s="211"/>
    </row>
    <row r="700" ht="15.75" customHeight="1">
      <c r="A700" s="127"/>
      <c r="B700" s="211"/>
      <c r="D700" s="211"/>
    </row>
    <row r="701" ht="15.75" customHeight="1">
      <c r="A701" s="127"/>
      <c r="B701" s="211"/>
      <c r="D701" s="211"/>
    </row>
    <row r="702" ht="15.75" customHeight="1">
      <c r="A702" s="127"/>
      <c r="B702" s="211"/>
      <c r="D702" s="211"/>
    </row>
    <row r="703" ht="15.75" customHeight="1">
      <c r="A703" s="127"/>
      <c r="B703" s="211"/>
      <c r="D703" s="211"/>
    </row>
    <row r="704" ht="15.75" customHeight="1">
      <c r="A704" s="127"/>
      <c r="B704" s="211"/>
      <c r="D704" s="211"/>
    </row>
    <row r="705" ht="15.75" customHeight="1">
      <c r="A705" s="127"/>
      <c r="B705" s="211"/>
      <c r="D705" s="211"/>
    </row>
    <row r="706" ht="15.75" customHeight="1">
      <c r="A706" s="127"/>
      <c r="B706" s="211"/>
      <c r="D706" s="211"/>
    </row>
    <row r="707" ht="15.75" customHeight="1">
      <c r="A707" s="127"/>
      <c r="B707" s="211"/>
      <c r="D707" s="211"/>
    </row>
    <row r="708" ht="15.75" customHeight="1">
      <c r="A708" s="127"/>
      <c r="B708" s="211"/>
      <c r="D708" s="211"/>
    </row>
    <row r="709" ht="15.75" customHeight="1">
      <c r="A709" s="127"/>
      <c r="B709" s="211"/>
      <c r="D709" s="211"/>
    </row>
    <row r="710" ht="15.75" customHeight="1">
      <c r="A710" s="127"/>
      <c r="B710" s="211"/>
      <c r="D710" s="211"/>
    </row>
    <row r="711" ht="15.75" customHeight="1">
      <c r="A711" s="127"/>
      <c r="B711" s="211"/>
      <c r="D711" s="211"/>
    </row>
    <row r="712" ht="15.75" customHeight="1">
      <c r="A712" s="127"/>
      <c r="B712" s="211"/>
      <c r="D712" s="211"/>
    </row>
    <row r="713" ht="15.75" customHeight="1">
      <c r="A713" s="127"/>
      <c r="B713" s="211"/>
      <c r="D713" s="211"/>
    </row>
    <row r="714" ht="15.75" customHeight="1">
      <c r="A714" s="127"/>
      <c r="B714" s="211"/>
      <c r="D714" s="211"/>
    </row>
    <row r="715" ht="15.75" customHeight="1">
      <c r="A715" s="127"/>
      <c r="B715" s="211"/>
      <c r="D715" s="211"/>
    </row>
    <row r="716" ht="15.75" customHeight="1">
      <c r="A716" s="127"/>
      <c r="B716" s="211"/>
      <c r="D716" s="211"/>
    </row>
    <row r="717" ht="15.75" customHeight="1">
      <c r="A717" s="127"/>
      <c r="B717" s="211"/>
      <c r="D717" s="211"/>
    </row>
    <row r="718" ht="15.75" customHeight="1">
      <c r="A718" s="127"/>
      <c r="B718" s="211"/>
      <c r="D718" s="211"/>
    </row>
    <row r="719" ht="15.75" customHeight="1">
      <c r="A719" s="127"/>
      <c r="B719" s="211"/>
      <c r="D719" s="211"/>
    </row>
    <row r="720" ht="15.75" customHeight="1">
      <c r="A720" s="127"/>
      <c r="B720" s="211"/>
      <c r="D720" s="211"/>
    </row>
    <row r="721" ht="15.75" customHeight="1">
      <c r="A721" s="127"/>
      <c r="B721" s="211"/>
      <c r="D721" s="211"/>
    </row>
    <row r="722" ht="15.75" customHeight="1">
      <c r="A722" s="127"/>
      <c r="B722" s="211"/>
      <c r="D722" s="211"/>
    </row>
    <row r="723" ht="15.75" customHeight="1">
      <c r="A723" s="127"/>
      <c r="B723" s="211"/>
      <c r="D723" s="211"/>
    </row>
    <row r="724" ht="15.75" customHeight="1">
      <c r="A724" s="127"/>
      <c r="B724" s="211"/>
      <c r="D724" s="211"/>
    </row>
    <row r="725" ht="15.75" customHeight="1">
      <c r="A725" s="127"/>
      <c r="B725" s="211"/>
      <c r="D725" s="211"/>
    </row>
    <row r="726" ht="15.75" customHeight="1">
      <c r="A726" s="127"/>
      <c r="B726" s="211"/>
      <c r="D726" s="211"/>
    </row>
    <row r="727" ht="15.75" customHeight="1">
      <c r="A727" s="127"/>
      <c r="B727" s="211"/>
      <c r="D727" s="211"/>
    </row>
    <row r="728" ht="15.75" customHeight="1">
      <c r="A728" s="127"/>
      <c r="B728" s="211"/>
      <c r="D728" s="211"/>
    </row>
    <row r="729" ht="15.75" customHeight="1">
      <c r="A729" s="127"/>
      <c r="B729" s="211"/>
      <c r="D729" s="211"/>
    </row>
    <row r="730" ht="15.75" customHeight="1">
      <c r="A730" s="127"/>
      <c r="B730" s="211"/>
      <c r="D730" s="211"/>
    </row>
    <row r="731" ht="15.75" customHeight="1">
      <c r="A731" s="127"/>
      <c r="B731" s="211"/>
      <c r="D731" s="211"/>
    </row>
    <row r="732" ht="15.75" customHeight="1">
      <c r="A732" s="127"/>
      <c r="B732" s="211"/>
      <c r="D732" s="211"/>
    </row>
    <row r="733" ht="15.75" customHeight="1">
      <c r="A733" s="127"/>
      <c r="B733" s="211"/>
      <c r="D733" s="211"/>
    </row>
    <row r="734" ht="15.75" customHeight="1">
      <c r="A734" s="127"/>
      <c r="B734" s="211"/>
      <c r="D734" s="211"/>
    </row>
    <row r="735" ht="15.75" customHeight="1">
      <c r="A735" s="127"/>
      <c r="B735" s="211"/>
      <c r="D735" s="211"/>
    </row>
    <row r="736" ht="15.75" customHeight="1">
      <c r="A736" s="127"/>
      <c r="B736" s="211"/>
      <c r="D736" s="211"/>
    </row>
    <row r="737" ht="15.75" customHeight="1">
      <c r="A737" s="127"/>
      <c r="B737" s="211"/>
      <c r="D737" s="211"/>
    </row>
    <row r="738" ht="15.75" customHeight="1">
      <c r="A738" s="127"/>
      <c r="B738" s="211"/>
      <c r="D738" s="211"/>
    </row>
    <row r="739" ht="15.75" customHeight="1">
      <c r="A739" s="127"/>
      <c r="B739" s="211"/>
      <c r="D739" s="211"/>
    </row>
    <row r="740" ht="15.75" customHeight="1">
      <c r="A740" s="127"/>
      <c r="B740" s="211"/>
      <c r="D740" s="211"/>
    </row>
    <row r="741" ht="15.75" customHeight="1">
      <c r="A741" s="127"/>
      <c r="B741" s="211"/>
      <c r="D741" s="211"/>
    </row>
    <row r="742" ht="15.75" customHeight="1">
      <c r="A742" s="127"/>
      <c r="B742" s="211"/>
      <c r="D742" s="211"/>
    </row>
    <row r="743" ht="15.75" customHeight="1">
      <c r="A743" s="127"/>
      <c r="B743" s="211"/>
      <c r="D743" s="211"/>
    </row>
    <row r="744" ht="15.75" customHeight="1">
      <c r="A744" s="127"/>
      <c r="B744" s="211"/>
      <c r="D744" s="211"/>
    </row>
    <row r="745" ht="15.75" customHeight="1">
      <c r="A745" s="127"/>
      <c r="B745" s="211"/>
      <c r="D745" s="211"/>
    </row>
    <row r="746" ht="15.75" customHeight="1">
      <c r="A746" s="127"/>
      <c r="B746" s="211"/>
      <c r="D746" s="211"/>
    </row>
    <row r="747" ht="15.75" customHeight="1">
      <c r="A747" s="127"/>
      <c r="B747" s="211"/>
      <c r="D747" s="211"/>
    </row>
    <row r="748" ht="15.75" customHeight="1">
      <c r="A748" s="127"/>
      <c r="B748" s="211"/>
      <c r="D748" s="211"/>
    </row>
    <row r="749" ht="15.75" customHeight="1">
      <c r="A749" s="127"/>
      <c r="B749" s="211"/>
      <c r="D749" s="211"/>
    </row>
    <row r="750" ht="15.75" customHeight="1">
      <c r="A750" s="127"/>
      <c r="B750" s="211"/>
      <c r="D750" s="211"/>
    </row>
    <row r="751" ht="15.75" customHeight="1">
      <c r="A751" s="127"/>
      <c r="B751" s="211"/>
      <c r="D751" s="211"/>
    </row>
    <row r="752" ht="15.75" customHeight="1">
      <c r="A752" s="127"/>
      <c r="B752" s="211"/>
      <c r="D752" s="211"/>
    </row>
    <row r="753" ht="15.75" customHeight="1">
      <c r="A753" s="127"/>
      <c r="B753" s="211"/>
      <c r="D753" s="211"/>
    </row>
    <row r="754" ht="15.75" customHeight="1">
      <c r="A754" s="127"/>
      <c r="B754" s="211"/>
      <c r="D754" s="211"/>
    </row>
    <row r="755" ht="15.75" customHeight="1">
      <c r="A755" s="127"/>
      <c r="B755" s="211"/>
      <c r="D755" s="211"/>
    </row>
    <row r="756" ht="15.75" customHeight="1">
      <c r="A756" s="127"/>
      <c r="B756" s="211"/>
      <c r="D756" s="211"/>
    </row>
    <row r="757" ht="15.75" customHeight="1">
      <c r="A757" s="127"/>
      <c r="B757" s="211"/>
      <c r="D757" s="211"/>
    </row>
    <row r="758" ht="15.75" customHeight="1">
      <c r="A758" s="127"/>
      <c r="B758" s="211"/>
      <c r="D758" s="211"/>
    </row>
    <row r="759" ht="15.75" customHeight="1">
      <c r="A759" s="127"/>
      <c r="B759" s="211"/>
      <c r="D759" s="211"/>
    </row>
    <row r="760" ht="15.75" customHeight="1">
      <c r="A760" s="127"/>
      <c r="B760" s="211"/>
      <c r="D760" s="211"/>
    </row>
    <row r="761" ht="15.75" customHeight="1">
      <c r="A761" s="127"/>
      <c r="B761" s="211"/>
      <c r="D761" s="211"/>
    </row>
    <row r="762" ht="15.75" customHeight="1">
      <c r="A762" s="127"/>
      <c r="B762" s="211"/>
      <c r="D762" s="211"/>
    </row>
    <row r="763" ht="15.75" customHeight="1">
      <c r="A763" s="127"/>
      <c r="B763" s="211"/>
      <c r="D763" s="211"/>
    </row>
    <row r="764" ht="15.75" customHeight="1">
      <c r="A764" s="127"/>
      <c r="B764" s="211"/>
      <c r="D764" s="211"/>
    </row>
    <row r="765" ht="15.75" customHeight="1">
      <c r="A765" s="127"/>
      <c r="B765" s="211"/>
      <c r="D765" s="211"/>
    </row>
    <row r="766" ht="15.75" customHeight="1">
      <c r="A766" s="127"/>
      <c r="B766" s="211"/>
      <c r="D766" s="211"/>
    </row>
    <row r="767" ht="15.75" customHeight="1">
      <c r="A767" s="127"/>
      <c r="B767" s="211"/>
      <c r="D767" s="211"/>
    </row>
    <row r="768" ht="15.75" customHeight="1">
      <c r="A768" s="127"/>
      <c r="B768" s="211"/>
      <c r="D768" s="211"/>
    </row>
    <row r="769" ht="15.75" customHeight="1">
      <c r="A769" s="127"/>
      <c r="B769" s="211"/>
      <c r="D769" s="211"/>
    </row>
    <row r="770" ht="15.75" customHeight="1">
      <c r="A770" s="127"/>
      <c r="B770" s="211"/>
      <c r="D770" s="211"/>
    </row>
    <row r="771" ht="15.75" customHeight="1">
      <c r="A771" s="127"/>
      <c r="B771" s="211"/>
      <c r="D771" s="211"/>
    </row>
    <row r="772" ht="15.75" customHeight="1">
      <c r="A772" s="127"/>
      <c r="B772" s="211"/>
      <c r="D772" s="211"/>
    </row>
    <row r="773" ht="15.75" customHeight="1">
      <c r="A773" s="127"/>
      <c r="B773" s="211"/>
      <c r="D773" s="211"/>
    </row>
    <row r="774" ht="15.75" customHeight="1">
      <c r="A774" s="127"/>
      <c r="B774" s="211"/>
      <c r="D774" s="211"/>
    </row>
    <row r="775" ht="15.75" customHeight="1">
      <c r="A775" s="127"/>
      <c r="B775" s="211"/>
      <c r="D775" s="211"/>
    </row>
    <row r="776" ht="15.75" customHeight="1">
      <c r="A776" s="127"/>
      <c r="B776" s="211"/>
      <c r="D776" s="211"/>
    </row>
    <row r="777" ht="15.75" customHeight="1">
      <c r="A777" s="127"/>
      <c r="B777" s="211"/>
      <c r="D777" s="211"/>
    </row>
    <row r="778" ht="15.75" customHeight="1">
      <c r="A778" s="127"/>
      <c r="B778" s="211"/>
      <c r="D778" s="211"/>
    </row>
    <row r="779" ht="15.75" customHeight="1">
      <c r="A779" s="127"/>
      <c r="B779" s="211"/>
      <c r="D779" s="211"/>
    </row>
    <row r="780" ht="15.75" customHeight="1">
      <c r="A780" s="127"/>
      <c r="B780" s="211"/>
      <c r="D780" s="211"/>
    </row>
    <row r="781" ht="15.75" customHeight="1">
      <c r="A781" s="127"/>
      <c r="B781" s="211"/>
      <c r="D781" s="211"/>
    </row>
    <row r="782" ht="15.75" customHeight="1">
      <c r="A782" s="127"/>
      <c r="B782" s="211"/>
      <c r="D782" s="211"/>
    </row>
    <row r="783" ht="15.75" customHeight="1">
      <c r="A783" s="127"/>
      <c r="B783" s="211"/>
      <c r="D783" s="211"/>
    </row>
    <row r="784" ht="15.75" customHeight="1">
      <c r="A784" s="127"/>
      <c r="B784" s="211"/>
      <c r="D784" s="211"/>
    </row>
    <row r="785" ht="15.75" customHeight="1">
      <c r="A785" s="127"/>
      <c r="B785" s="211"/>
      <c r="D785" s="211"/>
    </row>
    <row r="786" ht="15.75" customHeight="1">
      <c r="A786" s="127"/>
      <c r="B786" s="211"/>
      <c r="D786" s="211"/>
    </row>
    <row r="787" ht="15.75" customHeight="1">
      <c r="A787" s="127"/>
      <c r="B787" s="211"/>
      <c r="D787" s="211"/>
    </row>
    <row r="788" ht="15.75" customHeight="1">
      <c r="A788" s="127"/>
      <c r="B788" s="211"/>
      <c r="D788" s="211"/>
    </row>
    <row r="789" ht="15.75" customHeight="1">
      <c r="A789" s="127"/>
      <c r="B789" s="211"/>
      <c r="D789" s="211"/>
    </row>
    <row r="790" ht="15.75" customHeight="1">
      <c r="A790" s="127"/>
      <c r="B790" s="211"/>
      <c r="D790" s="211"/>
    </row>
    <row r="791" ht="15.75" customHeight="1">
      <c r="A791" s="127"/>
      <c r="B791" s="211"/>
      <c r="D791" s="211"/>
    </row>
    <row r="792" ht="15.75" customHeight="1">
      <c r="A792" s="127"/>
      <c r="B792" s="211"/>
      <c r="D792" s="211"/>
    </row>
    <row r="793" ht="15.75" customHeight="1">
      <c r="A793" s="127"/>
      <c r="B793" s="211"/>
      <c r="D793" s="211"/>
    </row>
    <row r="794" ht="15.75" customHeight="1">
      <c r="A794" s="127"/>
      <c r="B794" s="211"/>
      <c r="D794" s="211"/>
    </row>
    <row r="795" ht="15.75" customHeight="1">
      <c r="A795" s="127"/>
      <c r="B795" s="211"/>
      <c r="D795" s="211"/>
    </row>
    <row r="796" ht="15.75" customHeight="1">
      <c r="A796" s="127"/>
      <c r="B796" s="211"/>
      <c r="D796" s="211"/>
    </row>
    <row r="797" ht="15.75" customHeight="1">
      <c r="A797" s="127"/>
      <c r="B797" s="211"/>
      <c r="D797" s="211"/>
    </row>
    <row r="798" ht="15.75" customHeight="1">
      <c r="A798" s="127"/>
      <c r="B798" s="211"/>
      <c r="D798" s="211"/>
    </row>
    <row r="799" ht="15.75" customHeight="1">
      <c r="A799" s="127"/>
      <c r="B799" s="211"/>
      <c r="D799" s="211"/>
    </row>
    <row r="800" ht="15.75" customHeight="1">
      <c r="A800" s="127"/>
      <c r="B800" s="211"/>
      <c r="D800" s="211"/>
    </row>
    <row r="801" ht="15.75" customHeight="1">
      <c r="A801" s="127"/>
      <c r="B801" s="211"/>
      <c r="D801" s="211"/>
    </row>
    <row r="802" ht="15.75" customHeight="1">
      <c r="A802" s="127"/>
      <c r="B802" s="211"/>
      <c r="D802" s="211"/>
    </row>
    <row r="803" ht="15.75" customHeight="1">
      <c r="A803" s="127"/>
      <c r="B803" s="211"/>
      <c r="D803" s="211"/>
    </row>
    <row r="804" ht="15.75" customHeight="1">
      <c r="A804" s="127"/>
      <c r="B804" s="211"/>
      <c r="D804" s="211"/>
    </row>
    <row r="805" ht="15.75" customHeight="1">
      <c r="A805" s="127"/>
      <c r="B805" s="211"/>
      <c r="D805" s="211"/>
    </row>
    <row r="806" ht="15.75" customHeight="1">
      <c r="A806" s="127"/>
      <c r="B806" s="211"/>
      <c r="D806" s="211"/>
    </row>
    <row r="807" ht="15.75" customHeight="1">
      <c r="A807" s="127"/>
      <c r="B807" s="211"/>
      <c r="D807" s="211"/>
    </row>
    <row r="808" ht="15.75" customHeight="1">
      <c r="A808" s="127"/>
      <c r="B808" s="211"/>
      <c r="D808" s="211"/>
    </row>
    <row r="809" ht="15.75" customHeight="1">
      <c r="A809" s="127"/>
      <c r="B809" s="211"/>
      <c r="D809" s="211"/>
    </row>
    <row r="810" ht="15.75" customHeight="1">
      <c r="A810" s="127"/>
      <c r="B810" s="211"/>
      <c r="D810" s="211"/>
    </row>
    <row r="811" ht="15.75" customHeight="1">
      <c r="A811" s="127"/>
      <c r="B811" s="211"/>
      <c r="D811" s="211"/>
    </row>
    <row r="812" ht="15.75" customHeight="1">
      <c r="A812" s="127"/>
      <c r="B812" s="211"/>
      <c r="D812" s="211"/>
    </row>
    <row r="813" ht="15.75" customHeight="1">
      <c r="A813" s="127"/>
      <c r="B813" s="211"/>
      <c r="D813" s="211"/>
    </row>
    <row r="814" ht="15.75" customHeight="1">
      <c r="A814" s="127"/>
      <c r="B814" s="211"/>
      <c r="D814" s="211"/>
    </row>
    <row r="815" ht="15.75" customHeight="1">
      <c r="A815" s="127"/>
      <c r="B815" s="211"/>
      <c r="D815" s="211"/>
    </row>
    <row r="816" ht="15.75" customHeight="1">
      <c r="A816" s="127"/>
      <c r="B816" s="211"/>
      <c r="D816" s="211"/>
    </row>
    <row r="817" ht="15.75" customHeight="1">
      <c r="A817" s="127"/>
      <c r="B817" s="211"/>
      <c r="D817" s="211"/>
    </row>
    <row r="818" ht="15.75" customHeight="1">
      <c r="A818" s="127"/>
      <c r="B818" s="211"/>
      <c r="D818" s="211"/>
    </row>
    <row r="819" ht="15.75" customHeight="1">
      <c r="A819" s="127"/>
      <c r="B819" s="211"/>
      <c r="D819" s="211"/>
    </row>
    <row r="820" ht="15.75" customHeight="1">
      <c r="A820" s="127"/>
      <c r="B820" s="211"/>
      <c r="D820" s="211"/>
    </row>
    <row r="821" ht="15.75" customHeight="1">
      <c r="A821" s="127"/>
      <c r="B821" s="211"/>
      <c r="D821" s="211"/>
    </row>
    <row r="822" ht="15.75" customHeight="1">
      <c r="A822" s="127"/>
      <c r="B822" s="211"/>
      <c r="D822" s="211"/>
    </row>
    <row r="823" ht="15.75" customHeight="1">
      <c r="A823" s="127"/>
      <c r="B823" s="211"/>
      <c r="D823" s="211"/>
    </row>
    <row r="824" ht="15.75" customHeight="1">
      <c r="A824" s="127"/>
      <c r="B824" s="211"/>
      <c r="D824" s="211"/>
    </row>
    <row r="825" ht="15.75" customHeight="1">
      <c r="A825" s="127"/>
      <c r="B825" s="211"/>
      <c r="D825" s="211"/>
    </row>
    <row r="826" ht="15.75" customHeight="1">
      <c r="A826" s="127"/>
      <c r="B826" s="211"/>
      <c r="D826" s="211"/>
    </row>
    <row r="827" ht="15.75" customHeight="1">
      <c r="A827" s="127"/>
      <c r="B827" s="211"/>
      <c r="D827" s="211"/>
    </row>
    <row r="828" ht="15.75" customHeight="1">
      <c r="A828" s="127"/>
      <c r="B828" s="211"/>
      <c r="D828" s="211"/>
    </row>
    <row r="829" ht="15.75" customHeight="1">
      <c r="A829" s="127"/>
      <c r="B829" s="211"/>
      <c r="D829" s="211"/>
    </row>
    <row r="830" ht="15.75" customHeight="1">
      <c r="A830" s="127"/>
      <c r="B830" s="211"/>
      <c r="D830" s="211"/>
    </row>
    <row r="831" ht="15.75" customHeight="1">
      <c r="A831" s="127"/>
      <c r="B831" s="211"/>
      <c r="D831" s="211"/>
    </row>
    <row r="832" ht="15.75" customHeight="1">
      <c r="A832" s="127"/>
      <c r="B832" s="211"/>
      <c r="D832" s="211"/>
    </row>
    <row r="833" ht="15.75" customHeight="1">
      <c r="A833" s="127"/>
      <c r="B833" s="211"/>
      <c r="D833" s="211"/>
    </row>
    <row r="834" ht="15.75" customHeight="1">
      <c r="A834" s="127"/>
      <c r="B834" s="211"/>
      <c r="D834" s="211"/>
    </row>
    <row r="835" ht="15.75" customHeight="1">
      <c r="A835" s="127"/>
      <c r="B835" s="211"/>
      <c r="D835" s="211"/>
    </row>
    <row r="836" ht="15.75" customHeight="1">
      <c r="A836" s="127"/>
      <c r="B836" s="211"/>
      <c r="D836" s="211"/>
    </row>
    <row r="837" ht="15.75" customHeight="1">
      <c r="A837" s="127"/>
      <c r="B837" s="211"/>
      <c r="D837" s="211"/>
    </row>
    <row r="838" ht="15.75" customHeight="1">
      <c r="A838" s="127"/>
      <c r="B838" s="211"/>
      <c r="D838" s="211"/>
    </row>
    <row r="839" ht="15.75" customHeight="1">
      <c r="A839" s="127"/>
      <c r="B839" s="211"/>
      <c r="D839" s="211"/>
    </row>
    <row r="840" ht="15.75" customHeight="1">
      <c r="A840" s="127"/>
      <c r="B840" s="211"/>
      <c r="D840" s="211"/>
    </row>
    <row r="841" ht="15.75" customHeight="1">
      <c r="A841" s="127"/>
      <c r="B841" s="211"/>
      <c r="D841" s="211"/>
    </row>
    <row r="842" ht="15.75" customHeight="1">
      <c r="A842" s="127"/>
      <c r="B842" s="211"/>
      <c r="D842" s="211"/>
    </row>
    <row r="843" ht="15.75" customHeight="1">
      <c r="A843" s="127"/>
      <c r="B843" s="211"/>
      <c r="D843" s="211"/>
    </row>
    <row r="844" ht="15.75" customHeight="1">
      <c r="A844" s="127"/>
      <c r="B844" s="211"/>
      <c r="D844" s="211"/>
    </row>
    <row r="845" ht="15.75" customHeight="1">
      <c r="A845" s="127"/>
      <c r="B845" s="211"/>
      <c r="D845" s="211"/>
    </row>
    <row r="846" ht="15.75" customHeight="1">
      <c r="A846" s="127"/>
      <c r="B846" s="211"/>
      <c r="D846" s="211"/>
    </row>
    <row r="847" ht="15.75" customHeight="1">
      <c r="A847" s="127"/>
      <c r="B847" s="211"/>
      <c r="D847" s="211"/>
    </row>
    <row r="848" ht="15.75" customHeight="1">
      <c r="A848" s="127"/>
      <c r="B848" s="211"/>
      <c r="D848" s="211"/>
    </row>
    <row r="849" ht="15.75" customHeight="1">
      <c r="A849" s="127"/>
      <c r="B849" s="211"/>
      <c r="D849" s="211"/>
    </row>
    <row r="850" ht="15.75" customHeight="1">
      <c r="A850" s="127"/>
      <c r="B850" s="211"/>
      <c r="D850" s="211"/>
    </row>
    <row r="851" ht="15.75" customHeight="1">
      <c r="A851" s="127"/>
      <c r="B851" s="211"/>
      <c r="D851" s="211"/>
    </row>
    <row r="852" ht="15.75" customHeight="1">
      <c r="A852" s="127"/>
      <c r="B852" s="211"/>
      <c r="D852" s="211"/>
    </row>
    <row r="853" ht="15.75" customHeight="1">
      <c r="A853" s="127"/>
      <c r="B853" s="211"/>
      <c r="D853" s="211"/>
    </row>
    <row r="854" ht="15.75" customHeight="1">
      <c r="A854" s="127"/>
      <c r="B854" s="211"/>
      <c r="D854" s="211"/>
    </row>
    <row r="855" ht="15.75" customHeight="1">
      <c r="A855" s="127"/>
      <c r="B855" s="211"/>
      <c r="D855" s="211"/>
    </row>
    <row r="856" ht="15.75" customHeight="1">
      <c r="A856" s="127"/>
      <c r="B856" s="211"/>
      <c r="D856" s="211"/>
    </row>
    <row r="857" ht="15.75" customHeight="1">
      <c r="A857" s="127"/>
      <c r="B857" s="211"/>
      <c r="D857" s="211"/>
    </row>
    <row r="858" ht="15.75" customHeight="1">
      <c r="A858" s="127"/>
      <c r="B858" s="211"/>
      <c r="D858" s="211"/>
    </row>
    <row r="859" ht="15.75" customHeight="1">
      <c r="A859" s="127"/>
      <c r="B859" s="211"/>
      <c r="D859" s="211"/>
    </row>
    <row r="860" ht="15.75" customHeight="1">
      <c r="A860" s="127"/>
      <c r="B860" s="211"/>
      <c r="D860" s="211"/>
    </row>
    <row r="861" ht="15.75" customHeight="1">
      <c r="A861" s="127"/>
      <c r="B861" s="211"/>
      <c r="D861" s="211"/>
    </row>
    <row r="862" ht="15.75" customHeight="1">
      <c r="A862" s="127"/>
      <c r="B862" s="211"/>
      <c r="D862" s="211"/>
    </row>
    <row r="863" ht="15.75" customHeight="1">
      <c r="A863" s="127"/>
      <c r="B863" s="211"/>
      <c r="D863" s="211"/>
    </row>
    <row r="864" ht="15.75" customHeight="1">
      <c r="A864" s="127"/>
      <c r="B864" s="211"/>
      <c r="D864" s="211"/>
    </row>
    <row r="865" ht="15.75" customHeight="1">
      <c r="A865" s="127"/>
      <c r="B865" s="211"/>
      <c r="D865" s="211"/>
    </row>
    <row r="866" ht="15.75" customHeight="1">
      <c r="A866" s="127"/>
      <c r="B866" s="211"/>
      <c r="D866" s="211"/>
    </row>
    <row r="867" ht="15.75" customHeight="1">
      <c r="A867" s="127"/>
      <c r="B867" s="211"/>
      <c r="D867" s="211"/>
    </row>
    <row r="868" ht="15.75" customHeight="1">
      <c r="A868" s="127"/>
      <c r="B868" s="211"/>
      <c r="D868" s="211"/>
    </row>
    <row r="869" ht="15.75" customHeight="1">
      <c r="A869" s="127"/>
      <c r="B869" s="211"/>
      <c r="D869" s="211"/>
    </row>
    <row r="870" ht="15.75" customHeight="1">
      <c r="A870" s="127"/>
      <c r="B870" s="211"/>
      <c r="D870" s="211"/>
    </row>
    <row r="871" ht="15.75" customHeight="1">
      <c r="A871" s="127"/>
      <c r="B871" s="211"/>
      <c r="D871" s="211"/>
    </row>
    <row r="872" ht="15.75" customHeight="1">
      <c r="A872" s="127"/>
      <c r="B872" s="211"/>
      <c r="D872" s="211"/>
    </row>
    <row r="873" ht="15.75" customHeight="1">
      <c r="A873" s="127"/>
      <c r="B873" s="211"/>
      <c r="D873" s="211"/>
    </row>
    <row r="874" ht="15.75" customHeight="1">
      <c r="A874" s="127"/>
      <c r="B874" s="211"/>
      <c r="D874" s="211"/>
    </row>
    <row r="875" ht="15.75" customHeight="1">
      <c r="A875" s="127"/>
      <c r="B875" s="211"/>
      <c r="D875" s="211"/>
    </row>
    <row r="876" ht="15.75" customHeight="1">
      <c r="A876" s="127"/>
      <c r="B876" s="211"/>
      <c r="D876" s="211"/>
    </row>
    <row r="877" ht="15.75" customHeight="1">
      <c r="A877" s="127"/>
      <c r="B877" s="211"/>
      <c r="D877" s="211"/>
    </row>
    <row r="878" ht="15.75" customHeight="1">
      <c r="A878" s="127"/>
      <c r="B878" s="211"/>
      <c r="D878" s="211"/>
    </row>
    <row r="879" ht="15.75" customHeight="1">
      <c r="A879" s="127"/>
      <c r="B879" s="211"/>
      <c r="D879" s="211"/>
    </row>
    <row r="880" ht="15.75" customHeight="1">
      <c r="A880" s="127"/>
      <c r="B880" s="211"/>
      <c r="D880" s="211"/>
    </row>
    <row r="881" ht="15.75" customHeight="1">
      <c r="A881" s="127"/>
      <c r="B881" s="211"/>
      <c r="D881" s="211"/>
    </row>
    <row r="882" ht="15.75" customHeight="1">
      <c r="A882" s="127"/>
      <c r="B882" s="211"/>
      <c r="D882" s="211"/>
    </row>
    <row r="883" ht="15.75" customHeight="1">
      <c r="A883" s="127"/>
      <c r="B883" s="211"/>
      <c r="D883" s="211"/>
    </row>
    <row r="884" ht="15.75" customHeight="1">
      <c r="A884" s="127"/>
      <c r="B884" s="211"/>
      <c r="D884" s="211"/>
    </row>
    <row r="885" ht="15.75" customHeight="1">
      <c r="A885" s="127"/>
      <c r="B885" s="211"/>
      <c r="D885" s="211"/>
    </row>
    <row r="886" ht="15.75" customHeight="1">
      <c r="A886" s="127"/>
      <c r="B886" s="211"/>
      <c r="D886" s="211"/>
    </row>
    <row r="887" ht="15.75" customHeight="1">
      <c r="A887" s="127"/>
      <c r="B887" s="211"/>
      <c r="D887" s="211"/>
    </row>
    <row r="888" ht="15.75" customHeight="1">
      <c r="A888" s="127"/>
      <c r="B888" s="211"/>
      <c r="D888" s="211"/>
    </row>
    <row r="889" ht="15.75" customHeight="1">
      <c r="A889" s="127"/>
      <c r="B889" s="211"/>
      <c r="D889" s="211"/>
    </row>
    <row r="890" ht="15.75" customHeight="1">
      <c r="A890" s="127"/>
      <c r="B890" s="211"/>
      <c r="D890" s="211"/>
    </row>
    <row r="891" ht="15.75" customHeight="1">
      <c r="A891" s="127"/>
      <c r="B891" s="211"/>
      <c r="D891" s="211"/>
    </row>
    <row r="892" ht="15.75" customHeight="1">
      <c r="A892" s="127"/>
      <c r="B892" s="211"/>
      <c r="D892" s="211"/>
    </row>
    <row r="893" ht="15.75" customHeight="1">
      <c r="A893" s="127"/>
      <c r="B893" s="211"/>
      <c r="D893" s="211"/>
    </row>
    <row r="894" ht="15.75" customHeight="1">
      <c r="A894" s="127"/>
      <c r="B894" s="211"/>
      <c r="D894" s="211"/>
    </row>
    <row r="895" ht="15.75" customHeight="1">
      <c r="A895" s="127"/>
      <c r="B895" s="211"/>
      <c r="D895" s="211"/>
    </row>
    <row r="896" ht="15.75" customHeight="1">
      <c r="A896" s="127"/>
      <c r="B896" s="211"/>
      <c r="D896" s="211"/>
    </row>
    <row r="897" ht="15.75" customHeight="1">
      <c r="A897" s="127"/>
      <c r="B897" s="211"/>
      <c r="D897" s="211"/>
    </row>
    <row r="898" ht="15.75" customHeight="1">
      <c r="A898" s="127"/>
      <c r="B898" s="211"/>
      <c r="D898" s="211"/>
    </row>
    <row r="899" ht="15.75" customHeight="1">
      <c r="A899" s="127"/>
      <c r="B899" s="211"/>
      <c r="D899" s="211"/>
    </row>
    <row r="900" ht="15.75" customHeight="1">
      <c r="A900" s="127"/>
      <c r="B900" s="211"/>
      <c r="D900" s="211"/>
    </row>
    <row r="901" ht="15.75" customHeight="1">
      <c r="A901" s="127"/>
      <c r="B901" s="211"/>
      <c r="D901" s="211"/>
    </row>
    <row r="902" ht="15.75" customHeight="1">
      <c r="A902" s="127"/>
      <c r="B902" s="211"/>
      <c r="D902" s="211"/>
    </row>
    <row r="903" ht="15.75" customHeight="1">
      <c r="A903" s="127"/>
      <c r="B903" s="211"/>
      <c r="D903" s="211"/>
    </row>
    <row r="904" ht="15.75" customHeight="1">
      <c r="A904" s="127"/>
      <c r="B904" s="211"/>
      <c r="D904" s="211"/>
    </row>
    <row r="905" ht="15.75" customHeight="1">
      <c r="A905" s="127"/>
      <c r="B905" s="211"/>
      <c r="D905" s="211"/>
    </row>
    <row r="906" ht="15.75" customHeight="1">
      <c r="A906" s="127"/>
      <c r="B906" s="211"/>
      <c r="D906" s="211"/>
    </row>
    <row r="907" ht="15.75" customHeight="1">
      <c r="A907" s="127"/>
      <c r="B907" s="211"/>
      <c r="D907" s="211"/>
    </row>
    <row r="908" ht="15.75" customHeight="1">
      <c r="A908" s="127"/>
      <c r="B908" s="211"/>
      <c r="D908" s="211"/>
    </row>
    <row r="909" ht="15.75" customHeight="1">
      <c r="A909" s="127"/>
      <c r="B909" s="211"/>
      <c r="D909" s="211"/>
    </row>
    <row r="910" ht="15.75" customHeight="1">
      <c r="A910" s="127"/>
      <c r="B910" s="211"/>
      <c r="D910" s="211"/>
    </row>
    <row r="911" ht="15.75" customHeight="1">
      <c r="A911" s="127"/>
      <c r="B911" s="211"/>
      <c r="D911" s="211"/>
    </row>
    <row r="912" ht="15.75" customHeight="1">
      <c r="A912" s="127"/>
      <c r="B912" s="211"/>
      <c r="D912" s="211"/>
    </row>
    <row r="913" ht="15.75" customHeight="1">
      <c r="A913" s="127"/>
      <c r="B913" s="211"/>
      <c r="D913" s="211"/>
    </row>
    <row r="914" ht="15.75" customHeight="1">
      <c r="A914" s="127"/>
      <c r="B914" s="211"/>
      <c r="D914" s="211"/>
    </row>
    <row r="915" ht="15.75" customHeight="1">
      <c r="A915" s="127"/>
      <c r="B915" s="211"/>
      <c r="D915" s="211"/>
    </row>
    <row r="916" ht="15.75" customHeight="1">
      <c r="A916" s="127"/>
      <c r="B916" s="211"/>
      <c r="D916" s="211"/>
    </row>
    <row r="917" ht="15.75" customHeight="1">
      <c r="A917" s="127"/>
      <c r="B917" s="211"/>
      <c r="D917" s="211"/>
    </row>
    <row r="918" ht="15.75" customHeight="1">
      <c r="A918" s="127"/>
      <c r="B918" s="211"/>
      <c r="D918" s="211"/>
    </row>
    <row r="919" ht="15.75" customHeight="1">
      <c r="A919" s="127"/>
      <c r="B919" s="211"/>
      <c r="D919" s="211"/>
    </row>
    <row r="920" ht="15.75" customHeight="1">
      <c r="A920" s="127"/>
      <c r="B920" s="211"/>
      <c r="D920" s="211"/>
    </row>
    <row r="921" ht="15.75" customHeight="1">
      <c r="A921" s="127"/>
      <c r="B921" s="211"/>
      <c r="D921" s="211"/>
    </row>
    <row r="922" ht="15.75" customHeight="1">
      <c r="A922" s="127"/>
      <c r="B922" s="211"/>
      <c r="D922" s="211"/>
    </row>
    <row r="923" ht="15.75" customHeight="1">
      <c r="A923" s="127"/>
      <c r="B923" s="211"/>
      <c r="D923" s="211"/>
    </row>
    <row r="924" ht="15.75" customHeight="1">
      <c r="A924" s="127"/>
      <c r="B924" s="211"/>
      <c r="D924" s="211"/>
    </row>
    <row r="925" ht="15.75" customHeight="1">
      <c r="A925" s="127"/>
      <c r="B925" s="211"/>
      <c r="D925" s="211"/>
    </row>
    <row r="926" ht="15.75" customHeight="1">
      <c r="A926" s="127"/>
      <c r="B926" s="211"/>
      <c r="D926" s="211"/>
    </row>
    <row r="927" ht="15.75" customHeight="1">
      <c r="A927" s="127"/>
      <c r="B927" s="211"/>
      <c r="D927" s="211"/>
    </row>
    <row r="928" ht="15.75" customHeight="1">
      <c r="A928" s="127"/>
      <c r="B928" s="211"/>
      <c r="D928" s="211"/>
    </row>
    <row r="929" ht="15.75" customHeight="1">
      <c r="A929" s="127"/>
      <c r="B929" s="211"/>
      <c r="D929" s="211"/>
    </row>
    <row r="930" ht="15.75" customHeight="1">
      <c r="A930" s="127"/>
      <c r="B930" s="211"/>
      <c r="D930" s="211"/>
    </row>
    <row r="931" ht="15.75" customHeight="1">
      <c r="A931" s="127"/>
      <c r="B931" s="211"/>
      <c r="D931" s="211"/>
    </row>
    <row r="932" ht="15.75" customHeight="1">
      <c r="A932" s="127"/>
      <c r="B932" s="211"/>
      <c r="D932" s="211"/>
    </row>
    <row r="933" ht="15.75" customHeight="1">
      <c r="A933" s="127"/>
      <c r="B933" s="211"/>
      <c r="D933" s="211"/>
    </row>
    <row r="934" ht="15.75" customHeight="1">
      <c r="A934" s="127"/>
      <c r="B934" s="211"/>
      <c r="D934" s="211"/>
    </row>
    <row r="935" ht="15.75" customHeight="1">
      <c r="A935" s="127"/>
      <c r="B935" s="211"/>
      <c r="D935" s="211"/>
    </row>
    <row r="936" ht="15.75" customHeight="1">
      <c r="A936" s="127"/>
      <c r="B936" s="211"/>
      <c r="D936" s="211"/>
    </row>
    <row r="937" ht="15.75" customHeight="1">
      <c r="A937" s="127"/>
      <c r="B937" s="211"/>
      <c r="D937" s="211"/>
    </row>
    <row r="938" ht="15.75" customHeight="1">
      <c r="A938" s="127"/>
      <c r="B938" s="211"/>
      <c r="D938" s="211"/>
    </row>
    <row r="939" ht="15.75" customHeight="1">
      <c r="A939" s="127"/>
      <c r="B939" s="211"/>
      <c r="D939" s="211"/>
    </row>
    <row r="940" ht="15.75" customHeight="1">
      <c r="A940" s="127"/>
      <c r="B940" s="211"/>
      <c r="D940" s="211"/>
    </row>
    <row r="941" ht="15.75" customHeight="1">
      <c r="A941" s="127"/>
      <c r="B941" s="211"/>
      <c r="D941" s="211"/>
    </row>
    <row r="942" ht="15.75" customHeight="1">
      <c r="A942" s="127"/>
      <c r="B942" s="211"/>
      <c r="D942" s="211"/>
    </row>
    <row r="943" ht="15.75" customHeight="1">
      <c r="A943" s="127"/>
      <c r="B943" s="211"/>
      <c r="D943" s="211"/>
    </row>
    <row r="944" ht="15.75" customHeight="1">
      <c r="A944" s="127"/>
      <c r="B944" s="211"/>
      <c r="D944" s="211"/>
    </row>
    <row r="945" ht="15.75" customHeight="1">
      <c r="A945" s="127"/>
      <c r="B945" s="211"/>
      <c r="D945" s="211"/>
    </row>
    <row r="946" ht="15.75" customHeight="1">
      <c r="A946" s="127"/>
      <c r="B946" s="211"/>
      <c r="D946" s="211"/>
    </row>
    <row r="947" ht="15.75" customHeight="1">
      <c r="A947" s="127"/>
      <c r="B947" s="211"/>
      <c r="D947" s="211"/>
    </row>
    <row r="948" ht="15.75" customHeight="1">
      <c r="A948" s="127"/>
      <c r="B948" s="211"/>
      <c r="D948" s="211"/>
    </row>
    <row r="949" ht="15.75" customHeight="1">
      <c r="A949" s="127"/>
      <c r="B949" s="211"/>
      <c r="D949" s="211"/>
    </row>
    <row r="950" ht="15.75" customHeight="1">
      <c r="A950" s="127"/>
      <c r="B950" s="211"/>
      <c r="D950" s="211"/>
    </row>
    <row r="951" ht="15.75" customHeight="1">
      <c r="A951" s="127"/>
      <c r="B951" s="211"/>
      <c r="D951" s="211"/>
    </row>
    <row r="952" ht="15.75" customHeight="1">
      <c r="A952" s="127"/>
      <c r="B952" s="211"/>
      <c r="D952" s="211"/>
    </row>
    <row r="953" ht="15.75" customHeight="1">
      <c r="A953" s="127"/>
      <c r="B953" s="211"/>
      <c r="D953" s="211"/>
    </row>
    <row r="954" ht="15.75" customHeight="1">
      <c r="A954" s="127"/>
      <c r="B954" s="211"/>
      <c r="D954" s="211"/>
    </row>
    <row r="955" ht="15.75" customHeight="1">
      <c r="A955" s="127"/>
      <c r="B955" s="211"/>
      <c r="D955" s="211"/>
    </row>
    <row r="956" ht="15.75" customHeight="1">
      <c r="A956" s="127"/>
      <c r="B956" s="211"/>
      <c r="D956" s="211"/>
    </row>
    <row r="957" ht="15.75" customHeight="1">
      <c r="A957" s="127"/>
      <c r="B957" s="211"/>
      <c r="D957" s="211"/>
    </row>
    <row r="958" ht="15.75" customHeight="1">
      <c r="A958" s="127"/>
      <c r="B958" s="211"/>
      <c r="D958" s="211"/>
    </row>
    <row r="959" ht="15.75" customHeight="1">
      <c r="A959" s="127"/>
      <c r="B959" s="211"/>
      <c r="D959" s="211"/>
    </row>
    <row r="960" ht="15.75" customHeight="1">
      <c r="A960" s="127"/>
      <c r="B960" s="211"/>
      <c r="D960" s="211"/>
    </row>
    <row r="961" ht="15.75" customHeight="1">
      <c r="A961" s="127"/>
      <c r="B961" s="211"/>
      <c r="D961" s="211"/>
    </row>
    <row r="962" ht="15.75" customHeight="1">
      <c r="A962" s="127"/>
      <c r="B962" s="211"/>
      <c r="D962" s="211"/>
    </row>
    <row r="963" ht="15.75" customHeight="1">
      <c r="A963" s="127"/>
      <c r="B963" s="211"/>
      <c r="D963" s="211"/>
    </row>
    <row r="964" ht="15.75" customHeight="1">
      <c r="A964" s="127"/>
      <c r="B964" s="211"/>
      <c r="D964" s="211"/>
    </row>
    <row r="965" ht="15.75" customHeight="1">
      <c r="A965" s="127"/>
      <c r="B965" s="211"/>
      <c r="D965" s="211"/>
    </row>
    <row r="966" ht="15.75" customHeight="1">
      <c r="A966" s="127"/>
      <c r="B966" s="211"/>
      <c r="D966" s="211"/>
    </row>
    <row r="967" ht="15.75" customHeight="1">
      <c r="A967" s="127"/>
      <c r="B967" s="211"/>
      <c r="D967" s="211"/>
    </row>
    <row r="968" ht="15.75" customHeight="1">
      <c r="A968" s="127"/>
      <c r="B968" s="211"/>
      <c r="D968" s="211"/>
    </row>
    <row r="969" ht="15.75" customHeight="1">
      <c r="A969" s="127"/>
      <c r="B969" s="211"/>
      <c r="D969" s="211"/>
    </row>
    <row r="970" ht="15.75" customHeight="1">
      <c r="A970" s="127"/>
      <c r="B970" s="211"/>
      <c r="D970" s="211"/>
    </row>
    <row r="971" ht="15.75" customHeight="1">
      <c r="A971" s="127"/>
      <c r="B971" s="211"/>
      <c r="D971" s="211"/>
    </row>
    <row r="972" ht="15.75" customHeight="1">
      <c r="A972" s="127"/>
      <c r="B972" s="211"/>
      <c r="D972" s="211"/>
    </row>
    <row r="973" ht="15.75" customHeight="1">
      <c r="A973" s="127"/>
      <c r="B973" s="211"/>
      <c r="D973" s="211"/>
    </row>
    <row r="974" ht="15.75" customHeight="1">
      <c r="A974" s="127"/>
      <c r="B974" s="211"/>
      <c r="D974" s="211"/>
    </row>
    <row r="975" ht="15.75" customHeight="1">
      <c r="A975" s="127"/>
      <c r="B975" s="211"/>
      <c r="D975" s="211"/>
    </row>
    <row r="976" ht="15.75" customHeight="1">
      <c r="A976" s="127"/>
      <c r="B976" s="211"/>
      <c r="D976" s="211"/>
    </row>
    <row r="977" ht="15.75" customHeight="1">
      <c r="A977" s="127"/>
      <c r="B977" s="211"/>
      <c r="D977" s="211"/>
    </row>
    <row r="978" ht="15.75" customHeight="1">
      <c r="A978" s="127"/>
      <c r="B978" s="211"/>
      <c r="D978" s="211"/>
    </row>
    <row r="979" ht="15.75" customHeight="1">
      <c r="A979" s="127"/>
      <c r="B979" s="211"/>
      <c r="D979" s="211"/>
    </row>
    <row r="980" ht="15.75" customHeight="1">
      <c r="A980" s="127"/>
      <c r="B980" s="211"/>
      <c r="D980" s="211"/>
    </row>
    <row r="981" ht="15.75" customHeight="1">
      <c r="A981" s="127"/>
      <c r="B981" s="211"/>
      <c r="D981" s="211"/>
    </row>
    <row r="982" ht="15.75" customHeight="1">
      <c r="A982" s="127"/>
      <c r="B982" s="211"/>
      <c r="D982" s="211"/>
    </row>
    <row r="983" ht="15.75" customHeight="1">
      <c r="A983" s="127"/>
      <c r="B983" s="211"/>
      <c r="D983" s="211"/>
    </row>
    <row r="984" ht="15.75" customHeight="1">
      <c r="A984" s="127"/>
      <c r="B984" s="211"/>
      <c r="D984" s="211"/>
    </row>
    <row r="985" ht="15.75" customHeight="1">
      <c r="A985" s="127"/>
      <c r="B985" s="211"/>
      <c r="D985" s="211"/>
    </row>
    <row r="986" ht="15.75" customHeight="1">
      <c r="A986" s="127"/>
      <c r="B986" s="211"/>
      <c r="D986" s="211"/>
    </row>
    <row r="987" ht="15.75" customHeight="1">
      <c r="A987" s="127"/>
      <c r="B987" s="211"/>
      <c r="D987" s="211"/>
    </row>
    <row r="988" ht="15.75" customHeight="1">
      <c r="A988" s="127"/>
      <c r="B988" s="211"/>
      <c r="D988" s="211"/>
    </row>
    <row r="989" ht="15.75" customHeight="1">
      <c r="A989" s="127"/>
      <c r="B989" s="211"/>
      <c r="D989" s="211"/>
    </row>
    <row r="990" ht="15.75" customHeight="1">
      <c r="A990" s="127"/>
      <c r="B990" s="211"/>
      <c r="D990" s="211"/>
    </row>
    <row r="991" ht="15.75" customHeight="1">
      <c r="A991" s="127"/>
      <c r="B991" s="211"/>
      <c r="D991" s="211"/>
    </row>
    <row r="992" ht="15.75" customHeight="1">
      <c r="A992" s="127"/>
      <c r="B992" s="211"/>
      <c r="D992" s="211"/>
    </row>
    <row r="993" ht="15.75" customHeight="1">
      <c r="A993" s="127"/>
      <c r="B993" s="211"/>
      <c r="D993" s="211"/>
    </row>
    <row r="994" ht="15.75" customHeight="1">
      <c r="A994" s="127"/>
      <c r="B994" s="211"/>
      <c r="D994" s="211"/>
    </row>
    <row r="995" ht="15.75" customHeight="1">
      <c r="A995" s="127"/>
      <c r="B995" s="211"/>
      <c r="D995" s="211"/>
    </row>
    <row r="996" ht="15.75" customHeight="1">
      <c r="A996" s="127"/>
      <c r="B996" s="211"/>
      <c r="D996" s="211"/>
    </row>
    <row r="997" ht="15.75" customHeight="1">
      <c r="A997" s="127"/>
      <c r="B997" s="211"/>
      <c r="D997" s="211"/>
    </row>
    <row r="998" ht="15.75" customHeight="1">
      <c r="A998" s="127"/>
      <c r="B998" s="211"/>
      <c r="D998" s="211"/>
    </row>
    <row r="999" ht="15.75" customHeight="1">
      <c r="A999" s="127"/>
      <c r="B999" s="211"/>
      <c r="D999" s="211"/>
    </row>
    <row r="1000" ht="15.75" customHeight="1">
      <c r="A1000" s="127"/>
      <c r="B1000" s="211"/>
      <c r="D1000" s="211"/>
    </row>
    <row r="1001" ht="15.75" customHeight="1">
      <c r="A1001" s="127"/>
      <c r="B1001" s="211"/>
      <c r="D1001" s="211"/>
    </row>
    <row r="1002" ht="15.75" customHeight="1">
      <c r="A1002" s="127"/>
      <c r="B1002" s="211"/>
      <c r="D1002" s="211"/>
    </row>
    <row r="1003" ht="15.75" customHeight="1">
      <c r="A1003" s="127"/>
      <c r="B1003" s="211"/>
      <c r="D1003" s="211"/>
    </row>
    <row r="1004" ht="15.75" customHeight="1">
      <c r="A1004" s="127"/>
      <c r="B1004" s="211"/>
      <c r="D1004" s="211"/>
    </row>
    <row r="1005" ht="15.75" customHeight="1">
      <c r="A1005" s="127"/>
      <c r="B1005" s="211"/>
      <c r="D1005" s="211"/>
    </row>
    <row r="1006" ht="15.75" customHeight="1">
      <c r="A1006" s="127"/>
      <c r="B1006" s="211"/>
      <c r="D1006" s="211"/>
    </row>
    <row r="1007" ht="15.75" customHeight="1">
      <c r="A1007" s="127"/>
      <c r="B1007" s="211"/>
      <c r="D1007" s="211"/>
    </row>
    <row r="1008" ht="15.75" customHeight="1">
      <c r="A1008" s="127"/>
      <c r="B1008" s="211"/>
      <c r="D1008" s="211"/>
    </row>
    <row r="1009" ht="15.75" customHeight="1">
      <c r="A1009" s="127"/>
      <c r="B1009" s="211"/>
      <c r="D1009" s="211"/>
    </row>
    <row r="1010" ht="15.75" customHeight="1">
      <c r="A1010" s="127"/>
      <c r="B1010" s="211"/>
      <c r="D1010" s="211"/>
    </row>
    <row r="1011" ht="15.75" customHeight="1">
      <c r="A1011" s="127"/>
      <c r="B1011" s="211"/>
      <c r="D1011" s="211"/>
    </row>
    <row r="1012" ht="15.75" customHeight="1">
      <c r="A1012" s="127"/>
      <c r="B1012" s="211"/>
      <c r="D1012" s="211"/>
    </row>
    <row r="1013" ht="15.75" customHeight="1">
      <c r="A1013" s="127"/>
      <c r="B1013" s="211"/>
      <c r="D1013" s="211"/>
    </row>
    <row r="1014" ht="15.75" customHeight="1">
      <c r="A1014" s="127"/>
      <c r="B1014" s="211"/>
      <c r="D1014" s="211"/>
    </row>
    <row r="1015" ht="15.75" customHeight="1">
      <c r="A1015" s="127"/>
      <c r="B1015" s="211"/>
      <c r="D1015" s="211"/>
    </row>
    <row r="1016" ht="15.75" customHeight="1">
      <c r="A1016" s="127"/>
      <c r="B1016" s="211"/>
      <c r="D1016" s="211"/>
    </row>
    <row r="1017" ht="15.75" customHeight="1">
      <c r="A1017" s="127"/>
      <c r="B1017" s="211"/>
      <c r="D1017" s="211"/>
    </row>
    <row r="1018" ht="15.75" customHeight="1">
      <c r="A1018" s="127"/>
      <c r="B1018" s="211"/>
      <c r="D1018" s="211"/>
    </row>
  </sheetData>
  <mergeCells count="19">
    <mergeCell ref="N2:N3"/>
    <mergeCell ref="O2:O3"/>
    <mergeCell ref="G26:H26"/>
    <mergeCell ref="B49:C49"/>
    <mergeCell ref="P2:P3"/>
    <mergeCell ref="Q2:Q3"/>
    <mergeCell ref="R2:R3"/>
    <mergeCell ref="S2:S3"/>
    <mergeCell ref="T2:T3"/>
    <mergeCell ref="U2:U3"/>
    <mergeCell ref="Y105:Z105"/>
    <mergeCell ref="A1:D1"/>
    <mergeCell ref="F1:I1"/>
    <mergeCell ref="K1:V1"/>
    <mergeCell ref="X1:AD1"/>
    <mergeCell ref="K2:K3"/>
    <mergeCell ref="L2:L3"/>
    <mergeCell ref="M2:M3"/>
    <mergeCell ref="V2:V3"/>
  </mergeCells>
  <conditionalFormatting sqref="N45:N55">
    <cfRule type="cellIs" dxfId="1" priority="1" operator="notEqual">
      <formula>0</formula>
    </cfRule>
  </conditionalFormatting>
  <conditionalFormatting sqref="A1:D1">
    <cfRule type="notContainsBlanks" dxfId="0" priority="2">
      <formula>LEN(TRIM(A1))&gt;0</formula>
    </cfRule>
  </conditionalFormatting>
  <conditionalFormatting sqref="V4:V14 S18:S28 R33:R34 R36:R41 N45:N55">
    <cfRule type="cellIs" dxfId="1" priority="3" operator="notEqual">
      <formula>0</formula>
    </cfRule>
  </conditionalFormatting>
  <dataValidations>
    <dataValidation type="list" allowBlank="1" showErrorMessage="1" sqref="F3:F25 H3:H25">
      <formula1>"NONE,2.7KG,2.7KG FIESTA,7KG PASAK,7KG RUSKAS,11KG PASAK,11KG RUSKAS,ELITE PASAK,ELITE RUSKAS,22KG,50KG BLUE,50KG CODED"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0.29"/>
    <col customWidth="1" min="3" max="3" width="9.14"/>
    <col customWidth="1" min="4" max="4" width="16.29"/>
    <col customWidth="1" min="5" max="5" width="9.14"/>
    <col customWidth="1" min="6" max="6" width="21.43"/>
    <col customWidth="1" min="7" max="7" width="18.86"/>
    <col customWidth="1" min="8" max="8" width="20.57"/>
    <col customWidth="1" min="9" max="9" width="15.71"/>
    <col customWidth="1" min="10" max="10" width="9.14"/>
    <col customWidth="1" min="11" max="11" width="38.29"/>
    <col customWidth="1" min="12" max="12" width="12.43"/>
    <col customWidth="1" min="13" max="14" width="12.14"/>
    <col customWidth="1" min="15" max="15" width="12.86"/>
    <col customWidth="1" min="16" max="16" width="13.43"/>
    <col customWidth="1" min="17" max="17" width="13.29"/>
    <col customWidth="1" min="18" max="18" width="14.0"/>
    <col customWidth="1" min="19" max="19" width="13.29"/>
    <col customWidth="1" min="20" max="20" width="11.86"/>
    <col customWidth="1" min="21" max="21" width="9.14"/>
    <col customWidth="1" min="22" max="22" width="11.29"/>
    <col customWidth="1" min="23" max="23" width="10.43"/>
  </cols>
  <sheetData>
    <row r="1" ht="14.25" customHeight="1">
      <c r="A1" s="62"/>
      <c r="B1" s="63"/>
      <c r="C1" s="63"/>
      <c r="D1" s="64"/>
      <c r="E1" s="65"/>
      <c r="F1" s="66" t="s">
        <v>74</v>
      </c>
      <c r="G1" s="63"/>
      <c r="H1" s="63"/>
      <c r="I1" s="64"/>
      <c r="J1" s="65"/>
      <c r="K1" s="67" t="s">
        <v>75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8"/>
      <c r="X1" s="69" t="s">
        <v>76</v>
      </c>
      <c r="Y1" s="63"/>
      <c r="Z1" s="63"/>
      <c r="AA1" s="63"/>
      <c r="AB1" s="63"/>
      <c r="AC1" s="63"/>
      <c r="AD1" s="64"/>
    </row>
    <row r="2" ht="14.25" customHeight="1">
      <c r="A2" s="70" t="s">
        <v>77</v>
      </c>
      <c r="B2" s="71" t="s">
        <v>78</v>
      </c>
      <c r="C2" s="72" t="s">
        <v>79</v>
      </c>
      <c r="D2" s="73" t="s">
        <v>80</v>
      </c>
      <c r="E2" s="65"/>
      <c r="F2" s="72" t="s">
        <v>81</v>
      </c>
      <c r="G2" s="71" t="s">
        <v>82</v>
      </c>
      <c r="H2" s="72" t="s">
        <v>83</v>
      </c>
      <c r="I2" s="74" t="s">
        <v>80</v>
      </c>
      <c r="J2" s="65"/>
      <c r="K2" s="75" t="s">
        <v>84</v>
      </c>
      <c r="L2" s="76" t="s">
        <v>85</v>
      </c>
      <c r="M2" s="77" t="s">
        <v>86</v>
      </c>
      <c r="N2" s="77" t="s">
        <v>87</v>
      </c>
      <c r="O2" s="75" t="s">
        <v>79</v>
      </c>
      <c r="P2" s="75" t="s">
        <v>88</v>
      </c>
      <c r="Q2" s="78" t="s">
        <v>89</v>
      </c>
      <c r="R2" s="78" t="s">
        <v>90</v>
      </c>
      <c r="S2" s="78" t="s">
        <v>91</v>
      </c>
      <c r="T2" s="79" t="s">
        <v>92</v>
      </c>
      <c r="U2" s="79" t="s">
        <v>93</v>
      </c>
      <c r="V2" s="80" t="s">
        <v>94</v>
      </c>
      <c r="W2" s="68"/>
      <c r="X2" s="72" t="s">
        <v>95</v>
      </c>
      <c r="Y2" s="72" t="s">
        <v>96</v>
      </c>
      <c r="Z2" s="72" t="s">
        <v>97</v>
      </c>
      <c r="AA2" s="72" t="s">
        <v>98</v>
      </c>
      <c r="AB2" s="72" t="s">
        <v>99</v>
      </c>
      <c r="AC2" s="72" t="s">
        <v>100</v>
      </c>
      <c r="AD2" s="72" t="s">
        <v>101</v>
      </c>
    </row>
    <row r="3" ht="14.25" customHeight="1">
      <c r="A3" s="82" t="s">
        <v>102</v>
      </c>
      <c r="B3" s="83"/>
      <c r="C3" s="84"/>
      <c r="D3" s="85"/>
      <c r="E3" s="65"/>
      <c r="F3" s="86" t="s">
        <v>108</v>
      </c>
      <c r="G3" s="87">
        <v>0.0</v>
      </c>
      <c r="H3" s="88" t="s">
        <v>108</v>
      </c>
      <c r="I3" s="89" t="str">
        <f t="shared" ref="I3:I25" si="1">IF(AND(F3&lt;&gt;"NONE",H3&lt;&gt;"NONE", G3&gt;0),VLOOKUP(H3,$A$52:$B$63,2,FALSE)-G3+VLOOKUP(H3,$A$25:$B$36,2,FALSE),"")</f>
        <v/>
      </c>
      <c r="J3" s="65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68"/>
      <c r="X3" s="86">
        <v>209451.0</v>
      </c>
      <c r="Y3" s="88" t="s">
        <v>274</v>
      </c>
      <c r="Z3" s="88" t="s">
        <v>257</v>
      </c>
      <c r="AA3" s="88">
        <v>988.0</v>
      </c>
      <c r="AB3" s="88">
        <v>25.0</v>
      </c>
      <c r="AC3" s="231"/>
      <c r="AD3" s="232"/>
    </row>
    <row r="4" ht="14.25" customHeight="1">
      <c r="A4" s="95" t="s">
        <v>107</v>
      </c>
      <c r="B4" s="12">
        <v>650.0</v>
      </c>
      <c r="C4" s="96">
        <v>0.0</v>
      </c>
      <c r="D4" s="97">
        <f t="shared" ref="D4:D5" si="2">C4*B4</f>
        <v>0</v>
      </c>
      <c r="E4" s="65"/>
      <c r="F4" s="98" t="s">
        <v>108</v>
      </c>
      <c r="G4" s="16"/>
      <c r="H4" s="96" t="s">
        <v>108</v>
      </c>
      <c r="I4" s="89" t="str">
        <f t="shared" si="1"/>
        <v/>
      </c>
      <c r="J4" s="65"/>
      <c r="K4" s="95" t="s">
        <v>109</v>
      </c>
      <c r="L4" s="189">
        <f>'DAILY STOCKS (TH)'!U4</f>
        <v>13</v>
      </c>
      <c r="M4" s="99">
        <v>0.0</v>
      </c>
      <c r="N4" s="99">
        <v>48.0</v>
      </c>
      <c r="O4" s="100">
        <f t="shared" ref="O4:O14" si="3">C14</f>
        <v>0</v>
      </c>
      <c r="P4" s="100">
        <f t="shared" ref="P4:P14" si="4">C26</f>
        <v>34</v>
      </c>
      <c r="Q4" s="100">
        <f t="shared" ref="Q4:Q14" si="5">COUNTIF($H$3:$H$25,K4)</f>
        <v>0</v>
      </c>
      <c r="R4" s="101">
        <f t="shared" ref="R4:R14" si="6">C38</f>
        <v>0</v>
      </c>
      <c r="S4" s="109"/>
      <c r="T4" s="100">
        <f t="shared" ref="T4:T14" si="7">L4+M4+N4-O4-P4-Q4-R4-S4</f>
        <v>27</v>
      </c>
      <c r="U4" s="102">
        <v>27.0</v>
      </c>
      <c r="V4" s="103">
        <f t="shared" ref="V4:V14" si="8">U4-T4</f>
        <v>0</v>
      </c>
      <c r="W4" s="68"/>
      <c r="X4" s="98">
        <v>209452.0</v>
      </c>
      <c r="Y4" s="96" t="s">
        <v>275</v>
      </c>
      <c r="Z4" s="96" t="s">
        <v>262</v>
      </c>
      <c r="AA4" s="96">
        <v>963.0</v>
      </c>
      <c r="AB4" s="96">
        <v>50.0</v>
      </c>
      <c r="AC4" s="104"/>
      <c r="AD4" s="105"/>
    </row>
    <row r="5" ht="14.25" customHeight="1">
      <c r="A5" s="95" t="s">
        <v>111</v>
      </c>
      <c r="B5" s="12">
        <v>375.0</v>
      </c>
      <c r="C5" s="96">
        <v>1.0</v>
      </c>
      <c r="D5" s="97">
        <f t="shared" si="2"/>
        <v>375</v>
      </c>
      <c r="E5" s="65"/>
      <c r="F5" s="98" t="s">
        <v>108</v>
      </c>
      <c r="G5" s="12"/>
      <c r="H5" s="96" t="s">
        <v>108</v>
      </c>
      <c r="I5" s="89" t="str">
        <f t="shared" si="1"/>
        <v/>
      </c>
      <c r="J5" s="65"/>
      <c r="K5" s="107" t="s">
        <v>112</v>
      </c>
      <c r="L5" s="189">
        <f>'DAILY STOCKS (TH)'!U5</f>
        <v>7</v>
      </c>
      <c r="M5" s="108">
        <v>0.0</v>
      </c>
      <c r="N5" s="99">
        <v>0.0</v>
      </c>
      <c r="O5" s="100">
        <f t="shared" si="3"/>
        <v>0</v>
      </c>
      <c r="P5" s="100">
        <f t="shared" si="4"/>
        <v>1</v>
      </c>
      <c r="Q5" s="100">
        <f t="shared" si="5"/>
        <v>0</v>
      </c>
      <c r="R5" s="101">
        <f t="shared" si="6"/>
        <v>0</v>
      </c>
      <c r="S5" s="109"/>
      <c r="T5" s="100">
        <f t="shared" si="7"/>
        <v>6</v>
      </c>
      <c r="U5" s="102">
        <v>6.0</v>
      </c>
      <c r="V5" s="103">
        <f t="shared" si="8"/>
        <v>0</v>
      </c>
      <c r="W5" s="68"/>
      <c r="X5" s="98">
        <v>209453.0</v>
      </c>
      <c r="Y5" s="96" t="s">
        <v>276</v>
      </c>
      <c r="Z5" s="96" t="s">
        <v>257</v>
      </c>
      <c r="AA5" s="96">
        <v>938.0</v>
      </c>
      <c r="AB5" s="96">
        <v>75.0</v>
      </c>
      <c r="AC5" s="104"/>
      <c r="AD5" s="105"/>
    </row>
    <row r="6" ht="14.25" customHeight="1">
      <c r="A6" s="110" t="s">
        <v>114</v>
      </c>
      <c r="B6" s="111"/>
      <c r="C6" s="112"/>
      <c r="D6" s="113"/>
      <c r="E6" s="65"/>
      <c r="F6" s="98" t="s">
        <v>108</v>
      </c>
      <c r="G6" s="12"/>
      <c r="H6" s="96" t="s">
        <v>108</v>
      </c>
      <c r="I6" s="89" t="str">
        <f t="shared" si="1"/>
        <v/>
      </c>
      <c r="J6" s="65"/>
      <c r="K6" s="107" t="s">
        <v>115</v>
      </c>
      <c r="L6" s="189">
        <f>'DAILY STOCKS (TH)'!U6</f>
        <v>12</v>
      </c>
      <c r="M6" s="108">
        <v>0.0</v>
      </c>
      <c r="N6" s="99">
        <v>0.0</v>
      </c>
      <c r="O6" s="100">
        <f t="shared" si="3"/>
        <v>0</v>
      </c>
      <c r="P6" s="100">
        <f t="shared" si="4"/>
        <v>3</v>
      </c>
      <c r="Q6" s="100">
        <f t="shared" si="5"/>
        <v>0</v>
      </c>
      <c r="R6" s="101">
        <f t="shared" si="6"/>
        <v>0</v>
      </c>
      <c r="S6" s="109"/>
      <c r="T6" s="100">
        <f t="shared" si="7"/>
        <v>9</v>
      </c>
      <c r="U6" s="102">
        <v>9.0</v>
      </c>
      <c r="V6" s="103">
        <f t="shared" si="8"/>
        <v>0</v>
      </c>
      <c r="W6" s="68"/>
      <c r="X6" s="98">
        <v>209454.0</v>
      </c>
      <c r="Y6" s="96" t="s">
        <v>277</v>
      </c>
      <c r="Z6" s="96" t="s">
        <v>262</v>
      </c>
      <c r="AA6" s="96">
        <v>938.0</v>
      </c>
      <c r="AB6" s="96">
        <v>75.0</v>
      </c>
      <c r="AC6" s="104"/>
      <c r="AD6" s="105"/>
    </row>
    <row r="7" ht="14.25" customHeight="1">
      <c r="A7" s="95" t="s">
        <v>118</v>
      </c>
      <c r="B7" s="12">
        <v>650.0</v>
      </c>
      <c r="C7" s="106">
        <v>0.0</v>
      </c>
      <c r="D7" s="97">
        <f t="shared" ref="D7:D12" si="9">C7*B7</f>
        <v>0</v>
      </c>
      <c r="E7" s="65"/>
      <c r="F7" s="98" t="s">
        <v>108</v>
      </c>
      <c r="G7" s="12"/>
      <c r="H7" s="96" t="s">
        <v>108</v>
      </c>
      <c r="I7" s="89" t="str">
        <f t="shared" si="1"/>
        <v/>
      </c>
      <c r="J7" s="65"/>
      <c r="K7" s="107" t="s">
        <v>119</v>
      </c>
      <c r="L7" s="189">
        <f>'DAILY STOCKS (TH)'!U7</f>
        <v>5</v>
      </c>
      <c r="M7" s="108">
        <v>0.0</v>
      </c>
      <c r="N7" s="99">
        <v>15.0</v>
      </c>
      <c r="O7" s="100">
        <f t="shared" si="3"/>
        <v>0</v>
      </c>
      <c r="P7" s="100">
        <f t="shared" si="4"/>
        <v>3</v>
      </c>
      <c r="Q7" s="100">
        <f t="shared" si="5"/>
        <v>0</v>
      </c>
      <c r="R7" s="101">
        <f t="shared" si="6"/>
        <v>0</v>
      </c>
      <c r="S7" s="109"/>
      <c r="T7" s="100">
        <f t="shared" si="7"/>
        <v>17</v>
      </c>
      <c r="U7" s="102">
        <v>17.0</v>
      </c>
      <c r="V7" s="103">
        <f t="shared" si="8"/>
        <v>0</v>
      </c>
      <c r="W7" s="68"/>
      <c r="X7" s="98">
        <v>209455.0</v>
      </c>
      <c r="Y7" s="96" t="s">
        <v>140</v>
      </c>
      <c r="Z7" s="96" t="s">
        <v>278</v>
      </c>
      <c r="AA7" s="104"/>
      <c r="AB7" s="104"/>
      <c r="AC7" s="96">
        <v>8104.0</v>
      </c>
      <c r="AD7" s="105"/>
    </row>
    <row r="8" ht="14.25" customHeight="1">
      <c r="A8" s="95" t="s">
        <v>121</v>
      </c>
      <c r="B8" s="12">
        <v>180.0</v>
      </c>
      <c r="C8" s="96">
        <v>1.0</v>
      </c>
      <c r="D8" s="97">
        <f t="shared" si="9"/>
        <v>180</v>
      </c>
      <c r="E8" s="65"/>
      <c r="F8" s="98" t="s">
        <v>108</v>
      </c>
      <c r="G8" s="12"/>
      <c r="H8" s="96" t="s">
        <v>108</v>
      </c>
      <c r="I8" s="89" t="str">
        <f t="shared" si="1"/>
        <v/>
      </c>
      <c r="J8" s="65"/>
      <c r="K8" s="107" t="s">
        <v>103</v>
      </c>
      <c r="L8" s="189">
        <f>'DAILY STOCKS (TH)'!U8</f>
        <v>0</v>
      </c>
      <c r="M8" s="108">
        <v>0.0</v>
      </c>
      <c r="N8" s="99">
        <v>105.0</v>
      </c>
      <c r="O8" s="100">
        <f t="shared" si="3"/>
        <v>0</v>
      </c>
      <c r="P8" s="100">
        <f t="shared" si="4"/>
        <v>83</v>
      </c>
      <c r="Q8" s="100">
        <f t="shared" si="5"/>
        <v>0</v>
      </c>
      <c r="R8" s="101">
        <f t="shared" si="6"/>
        <v>0</v>
      </c>
      <c r="S8" s="99">
        <v>3.0</v>
      </c>
      <c r="T8" s="100">
        <f t="shared" si="7"/>
        <v>19</v>
      </c>
      <c r="U8" s="102">
        <v>19.0</v>
      </c>
      <c r="V8" s="103">
        <f t="shared" si="8"/>
        <v>0</v>
      </c>
      <c r="W8" s="68"/>
      <c r="X8" s="126"/>
      <c r="Y8" s="104"/>
      <c r="Z8" s="96" t="s">
        <v>279</v>
      </c>
      <c r="AA8" s="104"/>
      <c r="AB8" s="104"/>
      <c r="AC8" s="96">
        <v>1400.0</v>
      </c>
      <c r="AD8" s="105"/>
    </row>
    <row r="9" ht="14.25" customHeight="1">
      <c r="A9" s="95" t="s">
        <v>123</v>
      </c>
      <c r="B9" s="12">
        <v>20.0</v>
      </c>
      <c r="C9" s="96">
        <v>1.0</v>
      </c>
      <c r="D9" s="97">
        <f t="shared" si="9"/>
        <v>20</v>
      </c>
      <c r="E9" s="65"/>
      <c r="F9" s="98" t="s">
        <v>108</v>
      </c>
      <c r="G9" s="12"/>
      <c r="H9" s="96" t="s">
        <v>108</v>
      </c>
      <c r="I9" s="89" t="str">
        <f t="shared" si="1"/>
        <v/>
      </c>
      <c r="J9" s="65"/>
      <c r="K9" s="107" t="s">
        <v>104</v>
      </c>
      <c r="L9" s="189">
        <f>'DAILY STOCKS (TH)'!U9</f>
        <v>15</v>
      </c>
      <c r="M9" s="108">
        <v>0.0</v>
      </c>
      <c r="N9" s="99">
        <v>105.0</v>
      </c>
      <c r="O9" s="100">
        <f t="shared" si="3"/>
        <v>1</v>
      </c>
      <c r="P9" s="100">
        <f t="shared" si="4"/>
        <v>87</v>
      </c>
      <c r="Q9" s="100">
        <f t="shared" si="5"/>
        <v>0</v>
      </c>
      <c r="R9" s="101">
        <f t="shared" si="6"/>
        <v>0</v>
      </c>
      <c r="S9" s="99">
        <v>9.0</v>
      </c>
      <c r="T9" s="100">
        <f t="shared" si="7"/>
        <v>23</v>
      </c>
      <c r="U9" s="102">
        <v>23.0</v>
      </c>
      <c r="V9" s="103">
        <f t="shared" si="8"/>
        <v>0</v>
      </c>
      <c r="W9" s="68"/>
      <c r="X9" s="126"/>
      <c r="Y9" s="104"/>
      <c r="Z9" s="96" t="s">
        <v>280</v>
      </c>
      <c r="AA9" s="104"/>
      <c r="AB9" s="104"/>
      <c r="AC9" s="96">
        <v>6078.0</v>
      </c>
      <c r="AD9" s="105"/>
    </row>
    <row r="10" ht="14.25" customHeight="1">
      <c r="A10" s="95" t="s">
        <v>125</v>
      </c>
      <c r="B10" s="12">
        <v>650.0</v>
      </c>
      <c r="C10" s="106">
        <v>0.0</v>
      </c>
      <c r="D10" s="97">
        <f t="shared" si="9"/>
        <v>0</v>
      </c>
      <c r="E10" s="65"/>
      <c r="F10" s="98" t="s">
        <v>108</v>
      </c>
      <c r="G10" s="12"/>
      <c r="H10" s="96" t="s">
        <v>108</v>
      </c>
      <c r="I10" s="89" t="str">
        <f t="shared" si="1"/>
        <v/>
      </c>
      <c r="J10" s="65"/>
      <c r="K10" s="107" t="s">
        <v>126</v>
      </c>
      <c r="L10" s="189">
        <f>'DAILY STOCKS (TH)'!U10</f>
        <v>8</v>
      </c>
      <c r="M10" s="108">
        <v>0.0</v>
      </c>
      <c r="N10" s="99">
        <v>0.0</v>
      </c>
      <c r="O10" s="100">
        <f t="shared" si="3"/>
        <v>0</v>
      </c>
      <c r="P10" s="100">
        <f t="shared" si="4"/>
        <v>0</v>
      </c>
      <c r="Q10" s="100">
        <f t="shared" si="5"/>
        <v>0</v>
      </c>
      <c r="R10" s="101">
        <f t="shared" si="6"/>
        <v>0</v>
      </c>
      <c r="S10" s="109"/>
      <c r="T10" s="100">
        <f t="shared" si="7"/>
        <v>8</v>
      </c>
      <c r="U10" s="102">
        <v>8.0</v>
      </c>
      <c r="V10" s="103">
        <f t="shared" si="8"/>
        <v>0</v>
      </c>
      <c r="W10" s="68"/>
      <c r="X10" s="98">
        <v>209456.0</v>
      </c>
      <c r="Y10" s="96" t="s">
        <v>281</v>
      </c>
      <c r="Z10" s="96" t="s">
        <v>262</v>
      </c>
      <c r="AA10" s="96">
        <v>963.0</v>
      </c>
      <c r="AB10" s="96">
        <v>50.0</v>
      </c>
      <c r="AC10" s="104"/>
      <c r="AD10" s="105"/>
    </row>
    <row r="11" ht="14.25" customHeight="1">
      <c r="A11" s="95" t="s">
        <v>128</v>
      </c>
      <c r="B11" s="12">
        <v>1200.0</v>
      </c>
      <c r="C11" s="106">
        <v>0.0</v>
      </c>
      <c r="D11" s="97">
        <f t="shared" si="9"/>
        <v>0</v>
      </c>
      <c r="E11" s="65"/>
      <c r="F11" s="98" t="s">
        <v>108</v>
      </c>
      <c r="G11" s="12"/>
      <c r="H11" s="96" t="s">
        <v>108</v>
      </c>
      <c r="I11" s="89" t="str">
        <f t="shared" si="1"/>
        <v/>
      </c>
      <c r="J11" s="65"/>
      <c r="K11" s="107" t="s">
        <v>129</v>
      </c>
      <c r="L11" s="189">
        <f>'DAILY STOCKS (TH)'!U11</f>
        <v>14</v>
      </c>
      <c r="M11" s="108">
        <v>0.0</v>
      </c>
      <c r="N11" s="99">
        <v>0.0</v>
      </c>
      <c r="O11" s="100">
        <f t="shared" si="3"/>
        <v>0</v>
      </c>
      <c r="P11" s="100">
        <f t="shared" si="4"/>
        <v>3</v>
      </c>
      <c r="Q11" s="100">
        <f t="shared" si="5"/>
        <v>0</v>
      </c>
      <c r="R11" s="101">
        <f t="shared" si="6"/>
        <v>0</v>
      </c>
      <c r="S11" s="109"/>
      <c r="T11" s="100">
        <f t="shared" si="7"/>
        <v>11</v>
      </c>
      <c r="U11" s="102">
        <v>11.0</v>
      </c>
      <c r="V11" s="103">
        <f t="shared" si="8"/>
        <v>0</v>
      </c>
      <c r="W11" s="68"/>
      <c r="X11" s="98">
        <v>209457.0</v>
      </c>
      <c r="Y11" s="96" t="s">
        <v>136</v>
      </c>
      <c r="Z11" s="96" t="s">
        <v>282</v>
      </c>
      <c r="AA11" s="104"/>
      <c r="AB11" s="104"/>
      <c r="AC11" s="96">
        <v>3039.0</v>
      </c>
      <c r="AD11" s="105"/>
    </row>
    <row r="12" ht="14.25" customHeight="1">
      <c r="A12" s="107" t="s">
        <v>131</v>
      </c>
      <c r="B12" s="16">
        <v>150.0</v>
      </c>
      <c r="C12" s="106">
        <v>0.0</v>
      </c>
      <c r="D12" s="97">
        <f t="shared" si="9"/>
        <v>0</v>
      </c>
      <c r="E12" s="65"/>
      <c r="F12" s="98" t="s">
        <v>108</v>
      </c>
      <c r="G12" s="12"/>
      <c r="H12" s="96" t="s">
        <v>108</v>
      </c>
      <c r="I12" s="89" t="str">
        <f t="shared" si="1"/>
        <v/>
      </c>
      <c r="J12" s="65"/>
      <c r="K12" s="95" t="s">
        <v>132</v>
      </c>
      <c r="L12" s="189">
        <f>'DAILY STOCKS (TH)'!U12</f>
        <v>3</v>
      </c>
      <c r="M12" s="108">
        <v>0.0</v>
      </c>
      <c r="N12" s="99">
        <v>0.0</v>
      </c>
      <c r="O12" s="100">
        <f t="shared" si="3"/>
        <v>0</v>
      </c>
      <c r="P12" s="100">
        <f t="shared" si="4"/>
        <v>0</v>
      </c>
      <c r="Q12" s="100">
        <f t="shared" si="5"/>
        <v>0</v>
      </c>
      <c r="R12" s="101">
        <f t="shared" si="6"/>
        <v>0</v>
      </c>
      <c r="S12" s="109"/>
      <c r="T12" s="100">
        <f t="shared" si="7"/>
        <v>3</v>
      </c>
      <c r="U12" s="102">
        <v>3.0</v>
      </c>
      <c r="V12" s="103">
        <f t="shared" si="8"/>
        <v>0</v>
      </c>
      <c r="W12" s="68"/>
      <c r="X12" s="126"/>
      <c r="Y12" s="104"/>
      <c r="Z12" s="96" t="s">
        <v>283</v>
      </c>
      <c r="AA12" s="104"/>
      <c r="AB12" s="104"/>
      <c r="AC12" s="96">
        <v>2026.0</v>
      </c>
      <c r="AD12" s="105"/>
    </row>
    <row r="13" ht="14.25" customHeight="1">
      <c r="A13" s="114" t="s">
        <v>134</v>
      </c>
      <c r="B13" s="111"/>
      <c r="C13" s="112"/>
      <c r="D13" s="113"/>
      <c r="E13" s="65"/>
      <c r="F13" s="98" t="s">
        <v>108</v>
      </c>
      <c r="G13" s="12"/>
      <c r="H13" s="96" t="s">
        <v>108</v>
      </c>
      <c r="I13" s="89" t="str">
        <f t="shared" si="1"/>
        <v/>
      </c>
      <c r="J13" s="65"/>
      <c r="K13" s="107" t="s">
        <v>135</v>
      </c>
      <c r="L13" s="189" t="str">
        <f>'DAILY STOCKS (TH)'!U13</f>
        <v/>
      </c>
      <c r="M13" s="108">
        <v>0.0</v>
      </c>
      <c r="N13" s="99">
        <v>0.0</v>
      </c>
      <c r="O13" s="100">
        <f t="shared" si="3"/>
        <v>0</v>
      </c>
      <c r="P13" s="100">
        <f t="shared" si="4"/>
        <v>0</v>
      </c>
      <c r="Q13" s="100">
        <f t="shared" si="5"/>
        <v>0</v>
      </c>
      <c r="R13" s="101">
        <f t="shared" si="6"/>
        <v>0</v>
      </c>
      <c r="S13" s="109"/>
      <c r="T13" s="100">
        <f t="shared" si="7"/>
        <v>0</v>
      </c>
      <c r="U13" s="115"/>
      <c r="V13" s="103">
        <f t="shared" si="8"/>
        <v>0</v>
      </c>
      <c r="W13" s="68"/>
      <c r="X13" s="98">
        <v>209458.0</v>
      </c>
      <c r="Y13" s="96" t="s">
        <v>284</v>
      </c>
      <c r="Z13" s="96" t="s">
        <v>257</v>
      </c>
      <c r="AA13" s="104"/>
      <c r="AB13" s="96">
        <v>75.0</v>
      </c>
      <c r="AC13" s="96">
        <v>938.0</v>
      </c>
      <c r="AD13" s="105"/>
    </row>
    <row r="14" ht="14.25" customHeight="1">
      <c r="A14" s="95" t="s">
        <v>109</v>
      </c>
      <c r="B14" s="116">
        <f t="shared" ref="B14:B24" si="10">B26+B53</f>
        <v>1480</v>
      </c>
      <c r="C14" s="96">
        <v>0.0</v>
      </c>
      <c r="D14" s="97">
        <f t="shared" ref="D14:D24" si="11">C14*B14</f>
        <v>0</v>
      </c>
      <c r="E14" s="65"/>
      <c r="F14" s="98" t="s">
        <v>108</v>
      </c>
      <c r="G14" s="12"/>
      <c r="H14" s="96" t="s">
        <v>108</v>
      </c>
      <c r="I14" s="89" t="str">
        <f t="shared" si="1"/>
        <v/>
      </c>
      <c r="J14" s="65"/>
      <c r="K14" s="117" t="s">
        <v>138</v>
      </c>
      <c r="L14" s="222">
        <f>'DAILY STOCKS (TH)'!U14</f>
        <v>1</v>
      </c>
      <c r="M14" s="119">
        <v>0.0</v>
      </c>
      <c r="N14" s="120">
        <v>10.0</v>
      </c>
      <c r="O14" s="121">
        <f t="shared" si="3"/>
        <v>0</v>
      </c>
      <c r="P14" s="121">
        <f t="shared" si="4"/>
        <v>7</v>
      </c>
      <c r="Q14" s="121">
        <f t="shared" si="5"/>
        <v>0</v>
      </c>
      <c r="R14" s="122">
        <f t="shared" si="6"/>
        <v>0</v>
      </c>
      <c r="S14" s="123"/>
      <c r="T14" s="121">
        <f t="shared" si="7"/>
        <v>4</v>
      </c>
      <c r="U14" s="124">
        <v>4.0</v>
      </c>
      <c r="V14" s="125">
        <f t="shared" si="8"/>
        <v>0</v>
      </c>
      <c r="W14" s="68"/>
      <c r="X14" s="98">
        <v>209459.0</v>
      </c>
      <c r="Y14" s="96" t="s">
        <v>285</v>
      </c>
      <c r="Z14" s="96" t="s">
        <v>257</v>
      </c>
      <c r="AA14" s="96">
        <v>938.0</v>
      </c>
      <c r="AB14" s="96">
        <v>75.0</v>
      </c>
      <c r="AC14" s="104"/>
      <c r="AD14" s="105"/>
    </row>
    <row r="15" ht="14.25" customHeight="1">
      <c r="A15" s="107" t="s">
        <v>112</v>
      </c>
      <c r="B15" s="116">
        <f t="shared" si="10"/>
        <v>1480</v>
      </c>
      <c r="C15" s="106">
        <v>0.0</v>
      </c>
      <c r="D15" s="97">
        <f t="shared" si="11"/>
        <v>0</v>
      </c>
      <c r="E15" s="65"/>
      <c r="F15" s="98" t="s">
        <v>108</v>
      </c>
      <c r="G15" s="12"/>
      <c r="H15" s="96" t="s">
        <v>108</v>
      </c>
      <c r="I15" s="89" t="str">
        <f t="shared" si="1"/>
        <v/>
      </c>
      <c r="J15" s="65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68"/>
      <c r="X15" s="98">
        <v>209460.0</v>
      </c>
      <c r="Y15" s="96" t="s">
        <v>286</v>
      </c>
      <c r="Z15" s="96" t="s">
        <v>262</v>
      </c>
      <c r="AA15" s="96">
        <v>963.0</v>
      </c>
      <c r="AB15" s="96">
        <v>50.0</v>
      </c>
      <c r="AC15" s="104"/>
      <c r="AD15" s="105"/>
    </row>
    <row r="16" ht="14.25" customHeight="1">
      <c r="A16" s="107" t="s">
        <v>115</v>
      </c>
      <c r="B16" s="116">
        <f t="shared" si="10"/>
        <v>2588</v>
      </c>
      <c r="C16" s="106">
        <v>0.0</v>
      </c>
      <c r="D16" s="97">
        <f t="shared" si="11"/>
        <v>0</v>
      </c>
      <c r="E16" s="65"/>
      <c r="F16" s="98" t="s">
        <v>108</v>
      </c>
      <c r="G16" s="12"/>
      <c r="H16" s="96" t="s">
        <v>108</v>
      </c>
      <c r="I16" s="89" t="str">
        <f t="shared" si="1"/>
        <v/>
      </c>
      <c r="J16" s="65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68"/>
      <c r="X16" s="98">
        <v>209461.0</v>
      </c>
      <c r="Y16" s="96" t="s">
        <v>276</v>
      </c>
      <c r="Z16" s="96" t="s">
        <v>287</v>
      </c>
      <c r="AA16" s="96">
        <v>938.0</v>
      </c>
      <c r="AB16" s="96">
        <v>75.0</v>
      </c>
      <c r="AC16" s="104"/>
      <c r="AD16" s="105"/>
    </row>
    <row r="17" ht="14.25" customHeight="1">
      <c r="A17" s="107" t="s">
        <v>119</v>
      </c>
      <c r="B17" s="116">
        <f t="shared" si="10"/>
        <v>2588</v>
      </c>
      <c r="C17" s="96">
        <v>0.0</v>
      </c>
      <c r="D17" s="97">
        <f t="shared" si="11"/>
        <v>0</v>
      </c>
      <c r="E17" s="65"/>
      <c r="F17" s="98" t="s">
        <v>108</v>
      </c>
      <c r="G17" s="12"/>
      <c r="H17" s="96" t="s">
        <v>108</v>
      </c>
      <c r="I17" s="89" t="str">
        <f t="shared" si="1"/>
        <v/>
      </c>
      <c r="J17" s="65"/>
      <c r="K17" s="72" t="s">
        <v>143</v>
      </c>
      <c r="L17" s="72" t="s">
        <v>85</v>
      </c>
      <c r="M17" s="128" t="s">
        <v>144</v>
      </c>
      <c r="N17" s="128" t="s">
        <v>88</v>
      </c>
      <c r="O17" s="128" t="s">
        <v>89</v>
      </c>
      <c r="P17" s="128" t="s">
        <v>145</v>
      </c>
      <c r="Q17" s="72" t="s">
        <v>92</v>
      </c>
      <c r="R17" s="129" t="s">
        <v>93</v>
      </c>
      <c r="S17" s="130" t="s">
        <v>94</v>
      </c>
      <c r="T17" s="127"/>
      <c r="U17" s="127"/>
      <c r="V17" s="127"/>
      <c r="W17" s="68"/>
      <c r="X17" s="98">
        <v>209462.0</v>
      </c>
      <c r="Y17" s="96" t="s">
        <v>288</v>
      </c>
      <c r="Z17" s="96" t="s">
        <v>262</v>
      </c>
      <c r="AA17" s="96">
        <v>963.0</v>
      </c>
      <c r="AB17" s="96">
        <v>50.0</v>
      </c>
      <c r="AC17" s="104"/>
      <c r="AD17" s="105"/>
    </row>
    <row r="18" ht="14.25" customHeight="1">
      <c r="A18" s="107" t="s">
        <v>103</v>
      </c>
      <c r="B18" s="116">
        <f t="shared" si="10"/>
        <v>3013</v>
      </c>
      <c r="C18" s="96">
        <v>0.0</v>
      </c>
      <c r="D18" s="97">
        <f t="shared" si="11"/>
        <v>0</v>
      </c>
      <c r="E18" s="65"/>
      <c r="F18" s="98" t="s">
        <v>108</v>
      </c>
      <c r="G18" s="12"/>
      <c r="H18" s="96" t="s">
        <v>108</v>
      </c>
      <c r="I18" s="89" t="str">
        <f t="shared" si="1"/>
        <v/>
      </c>
      <c r="J18" s="65"/>
      <c r="K18" s="95" t="s">
        <v>109</v>
      </c>
      <c r="L18" s="101">
        <f>'DAILY STOCKS (TH)'!R18</f>
        <v>54</v>
      </c>
      <c r="M18" s="132">
        <f t="shared" ref="M18:M28" si="12">N4</f>
        <v>48</v>
      </c>
      <c r="N18" s="132">
        <f t="shared" ref="N18:N22" si="13">P4</f>
        <v>34</v>
      </c>
      <c r="O18" s="132">
        <f t="shared" ref="O18:O28" si="14">countif($F$3:$F$25,K18)</f>
        <v>0</v>
      </c>
      <c r="P18" s="133"/>
      <c r="Q18" s="132">
        <f t="shared" ref="Q18:Q28" si="15">L18-M18+N18+O18+P18</f>
        <v>40</v>
      </c>
      <c r="R18" s="134">
        <v>41.0</v>
      </c>
      <c r="S18" s="135">
        <f t="shared" ref="S18:S28" si="16">R18-Q18</f>
        <v>1</v>
      </c>
      <c r="T18" s="127"/>
      <c r="U18" s="127"/>
      <c r="V18" s="127"/>
      <c r="W18" s="68"/>
      <c r="X18" s="98">
        <v>209463.0</v>
      </c>
      <c r="Y18" s="96" t="s">
        <v>289</v>
      </c>
      <c r="Z18" s="96" t="s">
        <v>290</v>
      </c>
      <c r="AA18" s="96">
        <v>4690.0</v>
      </c>
      <c r="AB18" s="96">
        <v>375.0</v>
      </c>
      <c r="AC18" s="104"/>
      <c r="AD18" s="105"/>
    </row>
    <row r="19" ht="14.25" customHeight="1">
      <c r="A19" s="107" t="s">
        <v>104</v>
      </c>
      <c r="B19" s="116">
        <f t="shared" si="10"/>
        <v>3013</v>
      </c>
      <c r="C19" s="96">
        <v>1.0</v>
      </c>
      <c r="D19" s="97">
        <f t="shared" si="11"/>
        <v>3013</v>
      </c>
      <c r="E19" s="65"/>
      <c r="F19" s="98" t="s">
        <v>108</v>
      </c>
      <c r="G19" s="12"/>
      <c r="H19" s="96" t="s">
        <v>108</v>
      </c>
      <c r="I19" s="89" t="str">
        <f t="shared" si="1"/>
        <v/>
      </c>
      <c r="J19" s="65"/>
      <c r="K19" s="107" t="s">
        <v>112</v>
      </c>
      <c r="L19" s="101">
        <f>'DAILY STOCKS (TH)'!R19</f>
        <v>11</v>
      </c>
      <c r="M19" s="136">
        <f t="shared" si="12"/>
        <v>0</v>
      </c>
      <c r="N19" s="136">
        <f t="shared" si="13"/>
        <v>1</v>
      </c>
      <c r="O19" s="132">
        <f t="shared" si="14"/>
        <v>0</v>
      </c>
      <c r="P19" s="137"/>
      <c r="Q19" s="132">
        <f t="shared" si="15"/>
        <v>12</v>
      </c>
      <c r="R19" s="138">
        <v>11.0</v>
      </c>
      <c r="S19" s="139">
        <f t="shared" si="16"/>
        <v>-1</v>
      </c>
      <c r="T19" s="65"/>
      <c r="U19" s="65"/>
      <c r="V19" s="140"/>
      <c r="W19" s="68"/>
      <c r="X19" s="98">
        <v>209464.0</v>
      </c>
      <c r="Y19" s="96" t="s">
        <v>291</v>
      </c>
      <c r="Z19" s="96" t="s">
        <v>257</v>
      </c>
      <c r="AA19" s="96">
        <v>963.0</v>
      </c>
      <c r="AB19" s="96">
        <v>50.0</v>
      </c>
      <c r="AC19" s="104"/>
      <c r="AD19" s="105"/>
    </row>
    <row r="20" ht="14.25" customHeight="1">
      <c r="A20" s="107" t="s">
        <v>126</v>
      </c>
      <c r="B20" s="116">
        <f t="shared" si="10"/>
        <v>4738</v>
      </c>
      <c r="C20" s="96">
        <v>0.0</v>
      </c>
      <c r="D20" s="97">
        <f t="shared" si="11"/>
        <v>0</v>
      </c>
      <c r="E20" s="65"/>
      <c r="F20" s="98" t="s">
        <v>108</v>
      </c>
      <c r="G20" s="12"/>
      <c r="H20" s="96" t="s">
        <v>108</v>
      </c>
      <c r="I20" s="89" t="str">
        <f t="shared" si="1"/>
        <v/>
      </c>
      <c r="J20" s="65"/>
      <c r="K20" s="107" t="s">
        <v>115</v>
      </c>
      <c r="L20" s="101">
        <f>'DAILY STOCKS (TH)'!R20</f>
        <v>7</v>
      </c>
      <c r="M20" s="136">
        <f t="shared" si="12"/>
        <v>0</v>
      </c>
      <c r="N20" s="136">
        <f t="shared" si="13"/>
        <v>3</v>
      </c>
      <c r="O20" s="132">
        <f t="shared" si="14"/>
        <v>0</v>
      </c>
      <c r="P20" s="141"/>
      <c r="Q20" s="132">
        <f t="shared" si="15"/>
        <v>10</v>
      </c>
      <c r="R20" s="138">
        <v>10.0</v>
      </c>
      <c r="S20" s="139">
        <f t="shared" si="16"/>
        <v>0</v>
      </c>
      <c r="T20" s="65"/>
      <c r="U20" s="65"/>
      <c r="V20" s="140"/>
      <c r="W20" s="68"/>
      <c r="X20" s="98">
        <v>209465.0</v>
      </c>
      <c r="Y20" s="96" t="s">
        <v>292</v>
      </c>
      <c r="Z20" s="96" t="s">
        <v>293</v>
      </c>
      <c r="AA20" s="104"/>
      <c r="AB20" s="96">
        <v>1000.0</v>
      </c>
      <c r="AC20" s="96">
        <v>9130.0</v>
      </c>
      <c r="AD20" s="105"/>
    </row>
    <row r="21" ht="14.25" customHeight="1">
      <c r="A21" s="107" t="s">
        <v>129</v>
      </c>
      <c r="B21" s="116">
        <f t="shared" si="10"/>
        <v>4738</v>
      </c>
      <c r="C21" s="106">
        <v>0.0</v>
      </c>
      <c r="D21" s="97">
        <f t="shared" si="11"/>
        <v>0</v>
      </c>
      <c r="E21" s="65"/>
      <c r="F21" s="98" t="s">
        <v>108</v>
      </c>
      <c r="G21" s="12"/>
      <c r="H21" s="96" t="s">
        <v>108</v>
      </c>
      <c r="I21" s="89" t="str">
        <f t="shared" si="1"/>
        <v/>
      </c>
      <c r="J21" s="65"/>
      <c r="K21" s="107" t="s">
        <v>119</v>
      </c>
      <c r="L21" s="101">
        <f>'DAILY STOCKS (TH)'!R21</f>
        <v>26</v>
      </c>
      <c r="M21" s="136">
        <f t="shared" si="12"/>
        <v>15</v>
      </c>
      <c r="N21" s="136">
        <f t="shared" si="13"/>
        <v>3</v>
      </c>
      <c r="O21" s="132">
        <f t="shared" si="14"/>
        <v>0</v>
      </c>
      <c r="P21" s="141"/>
      <c r="Q21" s="132">
        <f t="shared" si="15"/>
        <v>14</v>
      </c>
      <c r="R21" s="138">
        <v>14.0</v>
      </c>
      <c r="S21" s="139">
        <f t="shared" si="16"/>
        <v>0</v>
      </c>
      <c r="T21" s="65"/>
      <c r="U21" s="65"/>
      <c r="V21" s="140"/>
      <c r="W21" s="68"/>
      <c r="X21" s="126"/>
      <c r="Y21" s="104"/>
      <c r="Z21" s="96" t="s">
        <v>294</v>
      </c>
      <c r="AA21" s="104"/>
      <c r="AB21" s="96">
        <v>1000.0</v>
      </c>
      <c r="AC21" s="96">
        <v>9130.0</v>
      </c>
      <c r="AD21" s="105"/>
    </row>
    <row r="22" ht="14.25" customHeight="1">
      <c r="A22" s="95" t="s">
        <v>132</v>
      </c>
      <c r="B22" s="116">
        <f t="shared" si="10"/>
        <v>5665</v>
      </c>
      <c r="C22" s="106">
        <v>0.0</v>
      </c>
      <c r="D22" s="97">
        <f t="shared" si="11"/>
        <v>0</v>
      </c>
      <c r="E22" s="65"/>
      <c r="F22" s="98" t="s">
        <v>108</v>
      </c>
      <c r="G22" s="12"/>
      <c r="H22" s="96" t="s">
        <v>108</v>
      </c>
      <c r="I22" s="89" t="str">
        <f t="shared" si="1"/>
        <v/>
      </c>
      <c r="J22" s="65"/>
      <c r="K22" s="107" t="s">
        <v>103</v>
      </c>
      <c r="L22" s="101">
        <f>'DAILY STOCKS (TH)'!R22</f>
        <v>168</v>
      </c>
      <c r="M22" s="136">
        <f t="shared" si="12"/>
        <v>105</v>
      </c>
      <c r="N22" s="136">
        <f t="shared" si="13"/>
        <v>83</v>
      </c>
      <c r="O22" s="132">
        <f t="shared" si="14"/>
        <v>0</v>
      </c>
      <c r="P22" s="137"/>
      <c r="Q22" s="132">
        <f t="shared" si="15"/>
        <v>146</v>
      </c>
      <c r="R22" s="138">
        <v>146.0</v>
      </c>
      <c r="S22" s="139">
        <f t="shared" si="16"/>
        <v>0</v>
      </c>
      <c r="T22" s="65"/>
      <c r="U22" s="65"/>
      <c r="V22" s="140"/>
      <c r="W22" s="68"/>
      <c r="X22" s="98">
        <v>209466.0</v>
      </c>
      <c r="Y22" s="96" t="s">
        <v>295</v>
      </c>
      <c r="Z22" s="96" t="s">
        <v>290</v>
      </c>
      <c r="AA22" s="96">
        <v>4475.0</v>
      </c>
      <c r="AB22" s="96">
        <v>590.0</v>
      </c>
      <c r="AC22" s="104"/>
      <c r="AD22" s="105"/>
    </row>
    <row r="23" ht="14.25" customHeight="1">
      <c r="A23" s="107" t="s">
        <v>135</v>
      </c>
      <c r="B23" s="116">
        <f t="shared" si="10"/>
        <v>9459</v>
      </c>
      <c r="C23" s="106">
        <v>0.0</v>
      </c>
      <c r="D23" s="97">
        <f t="shared" si="11"/>
        <v>0</v>
      </c>
      <c r="E23" s="65"/>
      <c r="F23" s="98" t="s">
        <v>108</v>
      </c>
      <c r="G23" s="12"/>
      <c r="H23" s="96" t="s">
        <v>108</v>
      </c>
      <c r="I23" s="89" t="str">
        <f t="shared" si="1"/>
        <v/>
      </c>
      <c r="J23" s="65"/>
      <c r="K23" s="107" t="s">
        <v>104</v>
      </c>
      <c r="L23" s="101">
        <f>'DAILY STOCKS (TH)'!R23</f>
        <v>135</v>
      </c>
      <c r="M23" s="136">
        <f t="shared" si="12"/>
        <v>105</v>
      </c>
      <c r="N23" s="136">
        <f>C31</f>
        <v>87</v>
      </c>
      <c r="O23" s="132">
        <f t="shared" si="14"/>
        <v>0</v>
      </c>
      <c r="P23" s="137"/>
      <c r="Q23" s="132">
        <f t="shared" si="15"/>
        <v>117</v>
      </c>
      <c r="R23" s="138">
        <v>117.0</v>
      </c>
      <c r="S23" s="139">
        <f t="shared" si="16"/>
        <v>0</v>
      </c>
      <c r="T23" s="65"/>
      <c r="U23" s="65"/>
      <c r="V23" s="140"/>
      <c r="W23" s="68"/>
      <c r="X23" s="126"/>
      <c r="Y23" s="104"/>
      <c r="Z23" s="96" t="s">
        <v>213</v>
      </c>
      <c r="AA23" s="96">
        <v>4475.0</v>
      </c>
      <c r="AB23" s="96">
        <v>590.0</v>
      </c>
      <c r="AC23" s="104"/>
      <c r="AD23" s="105"/>
    </row>
    <row r="24" ht="14.25" customHeight="1">
      <c r="A24" s="107" t="s">
        <v>138</v>
      </c>
      <c r="B24" s="116">
        <f t="shared" si="10"/>
        <v>9459</v>
      </c>
      <c r="C24" s="106">
        <v>0.0</v>
      </c>
      <c r="D24" s="97">
        <f t="shared" si="11"/>
        <v>0</v>
      </c>
      <c r="E24" s="65"/>
      <c r="F24" s="98" t="s">
        <v>108</v>
      </c>
      <c r="G24" s="12"/>
      <c r="H24" s="96" t="s">
        <v>108</v>
      </c>
      <c r="I24" s="89" t="str">
        <f t="shared" si="1"/>
        <v/>
      </c>
      <c r="J24" s="65"/>
      <c r="K24" s="107" t="s">
        <v>126</v>
      </c>
      <c r="L24" s="101">
        <f>'DAILY STOCKS (TH)'!R24</f>
        <v>2</v>
      </c>
      <c r="M24" s="136">
        <f t="shared" si="12"/>
        <v>0</v>
      </c>
      <c r="N24" s="136">
        <f t="shared" ref="N24:N28" si="17">P10</f>
        <v>0</v>
      </c>
      <c r="O24" s="132">
        <f t="shared" si="14"/>
        <v>0</v>
      </c>
      <c r="P24" s="137"/>
      <c r="Q24" s="132">
        <f t="shared" si="15"/>
        <v>2</v>
      </c>
      <c r="R24" s="138">
        <v>2.0</v>
      </c>
      <c r="S24" s="139">
        <f t="shared" si="16"/>
        <v>0</v>
      </c>
      <c r="T24" s="65"/>
      <c r="U24" s="65"/>
      <c r="V24" s="140"/>
      <c r="W24" s="68"/>
      <c r="X24" s="143"/>
      <c r="Y24" s="137"/>
      <c r="Z24" s="141" t="s">
        <v>296</v>
      </c>
      <c r="AA24" s="141">
        <v>648.0</v>
      </c>
      <c r="AB24" s="141">
        <v>40.0</v>
      </c>
      <c r="AC24" s="137"/>
      <c r="AD24" s="144"/>
    </row>
    <row r="25" ht="14.25" customHeight="1">
      <c r="A25" s="114" t="s">
        <v>88</v>
      </c>
      <c r="B25" s="111"/>
      <c r="C25" s="112"/>
      <c r="D25" s="113"/>
      <c r="E25" s="65"/>
      <c r="F25" s="145" t="s">
        <v>108</v>
      </c>
      <c r="G25" s="25"/>
      <c r="H25" s="146" t="s">
        <v>108</v>
      </c>
      <c r="I25" s="89" t="str">
        <f t="shared" si="1"/>
        <v/>
      </c>
      <c r="J25" s="65"/>
      <c r="K25" s="107" t="s">
        <v>129</v>
      </c>
      <c r="L25" s="101">
        <f>'DAILY STOCKS (TH)'!R25</f>
        <v>61</v>
      </c>
      <c r="M25" s="136">
        <f t="shared" si="12"/>
        <v>0</v>
      </c>
      <c r="N25" s="136">
        <f t="shared" si="17"/>
        <v>3</v>
      </c>
      <c r="O25" s="132">
        <f t="shared" si="14"/>
        <v>0</v>
      </c>
      <c r="P25" s="137"/>
      <c r="Q25" s="132">
        <f t="shared" si="15"/>
        <v>64</v>
      </c>
      <c r="R25" s="138">
        <v>64.0</v>
      </c>
      <c r="S25" s="139">
        <f t="shared" si="16"/>
        <v>0</v>
      </c>
      <c r="T25" s="65"/>
      <c r="U25" s="65"/>
      <c r="V25" s="140"/>
      <c r="W25" s="68"/>
      <c r="X25" s="143"/>
      <c r="Y25" s="147"/>
      <c r="Z25" s="148" t="s">
        <v>297</v>
      </c>
      <c r="AA25" s="148">
        <v>648.0</v>
      </c>
      <c r="AB25" s="148">
        <v>40.0</v>
      </c>
      <c r="AC25" s="147"/>
      <c r="AD25" s="149"/>
    </row>
    <row r="26" ht="14.25" customHeight="1">
      <c r="A26" s="95" t="s">
        <v>109</v>
      </c>
      <c r="B26" s="16">
        <v>280.0</v>
      </c>
      <c r="C26" s="96">
        <v>34.0</v>
      </c>
      <c r="D26" s="97">
        <f t="shared" ref="D26:D36" si="18">C26*B26</f>
        <v>9520</v>
      </c>
      <c r="E26" s="65"/>
      <c r="F26" s="72" t="s">
        <v>80</v>
      </c>
      <c r="G26" s="67"/>
      <c r="H26" s="64"/>
      <c r="I26" s="150">
        <f>sum(I3:I25)</f>
        <v>0</v>
      </c>
      <c r="J26" s="65"/>
      <c r="K26" s="95" t="s">
        <v>132</v>
      </c>
      <c r="L26" s="101">
        <f>'DAILY STOCKS (TH)'!R26</f>
        <v>3</v>
      </c>
      <c r="M26" s="136">
        <f t="shared" si="12"/>
        <v>0</v>
      </c>
      <c r="N26" s="136">
        <f t="shared" si="17"/>
        <v>0</v>
      </c>
      <c r="O26" s="132">
        <f t="shared" si="14"/>
        <v>0</v>
      </c>
      <c r="P26" s="137"/>
      <c r="Q26" s="132">
        <f t="shared" si="15"/>
        <v>3</v>
      </c>
      <c r="R26" s="138">
        <v>3.0</v>
      </c>
      <c r="S26" s="139">
        <f t="shared" si="16"/>
        <v>0</v>
      </c>
      <c r="T26" s="65"/>
      <c r="U26" s="65"/>
      <c r="V26" s="140"/>
      <c r="W26" s="68"/>
      <c r="X26" s="152">
        <v>209467.0</v>
      </c>
      <c r="Y26" s="148" t="s">
        <v>298</v>
      </c>
      <c r="Z26" s="148" t="s">
        <v>262</v>
      </c>
      <c r="AA26" s="148">
        <v>963.0</v>
      </c>
      <c r="AB26" s="148">
        <v>50.0</v>
      </c>
      <c r="AC26" s="147"/>
      <c r="AD26" s="149"/>
    </row>
    <row r="27" ht="14.25" customHeight="1">
      <c r="A27" s="107" t="s">
        <v>112</v>
      </c>
      <c r="B27" s="16">
        <v>280.0</v>
      </c>
      <c r="C27" s="96">
        <v>1.0</v>
      </c>
      <c r="D27" s="97">
        <f t="shared" si="18"/>
        <v>280</v>
      </c>
      <c r="E27" s="65"/>
      <c r="F27" s="65"/>
      <c r="G27" s="65"/>
      <c r="H27" s="65"/>
      <c r="I27" s="65"/>
      <c r="J27" s="65"/>
      <c r="K27" s="107" t="s">
        <v>135</v>
      </c>
      <c r="L27" s="101">
        <f>'DAILY STOCKS (TH)'!R27</f>
        <v>26</v>
      </c>
      <c r="M27" s="136">
        <f t="shared" si="12"/>
        <v>0</v>
      </c>
      <c r="N27" s="136">
        <f t="shared" si="17"/>
        <v>0</v>
      </c>
      <c r="O27" s="132">
        <f t="shared" si="14"/>
        <v>0</v>
      </c>
      <c r="P27" s="137"/>
      <c r="Q27" s="132">
        <f t="shared" si="15"/>
        <v>26</v>
      </c>
      <c r="R27" s="138">
        <v>31.0</v>
      </c>
      <c r="S27" s="139">
        <f t="shared" si="16"/>
        <v>5</v>
      </c>
      <c r="T27" s="65"/>
      <c r="U27" s="65"/>
      <c r="V27" s="140"/>
      <c r="W27" s="68"/>
      <c r="X27" s="152">
        <v>209468.0</v>
      </c>
      <c r="Y27" s="148" t="s">
        <v>136</v>
      </c>
      <c r="Z27" s="148" t="s">
        <v>299</v>
      </c>
      <c r="AA27" s="147"/>
      <c r="AB27" s="147"/>
      <c r="AC27" s="148">
        <v>6078.0</v>
      </c>
      <c r="AD27" s="149"/>
    </row>
    <row r="28" ht="14.25" customHeight="1">
      <c r="A28" s="107" t="s">
        <v>115</v>
      </c>
      <c r="B28" s="16">
        <v>688.0</v>
      </c>
      <c r="C28" s="96">
        <v>3.0</v>
      </c>
      <c r="D28" s="97">
        <f t="shared" si="18"/>
        <v>2064</v>
      </c>
      <c r="E28" s="65"/>
      <c r="F28" s="65"/>
      <c r="G28" s="65"/>
      <c r="H28" s="65"/>
      <c r="I28" s="65"/>
      <c r="J28" s="65"/>
      <c r="K28" s="117" t="s">
        <v>138</v>
      </c>
      <c r="L28" s="122">
        <f>'DAILY STOCKS (TH)'!R28</f>
        <v>20</v>
      </c>
      <c r="M28" s="154">
        <f t="shared" si="12"/>
        <v>10</v>
      </c>
      <c r="N28" s="154">
        <f t="shared" si="17"/>
        <v>7</v>
      </c>
      <c r="O28" s="155">
        <f t="shared" si="14"/>
        <v>0</v>
      </c>
      <c r="P28" s="156"/>
      <c r="Q28" s="155">
        <f t="shared" si="15"/>
        <v>17</v>
      </c>
      <c r="R28" s="157">
        <v>12.0</v>
      </c>
      <c r="S28" s="158">
        <f t="shared" si="16"/>
        <v>-5</v>
      </c>
      <c r="T28" s="65"/>
      <c r="U28" s="65"/>
      <c r="V28" s="140"/>
      <c r="W28" s="68"/>
      <c r="X28" s="151"/>
      <c r="Y28" s="147"/>
      <c r="Z28" s="148" t="s">
        <v>262</v>
      </c>
      <c r="AA28" s="147"/>
      <c r="AB28" s="147"/>
      <c r="AC28" s="148">
        <v>1013.0</v>
      </c>
      <c r="AD28" s="149"/>
    </row>
    <row r="29" ht="14.25" customHeight="1">
      <c r="A29" s="107" t="s">
        <v>119</v>
      </c>
      <c r="B29" s="16">
        <v>688.0</v>
      </c>
      <c r="C29" s="96">
        <v>3.0</v>
      </c>
      <c r="D29" s="97">
        <f t="shared" si="18"/>
        <v>2064</v>
      </c>
      <c r="E29" s="65"/>
      <c r="F29" s="65"/>
      <c r="G29" s="65"/>
      <c r="H29" s="65"/>
      <c r="I29" s="65"/>
      <c r="J29" s="65"/>
      <c r="K29" s="127"/>
      <c r="L29" s="127"/>
      <c r="M29" s="127"/>
      <c r="N29" s="127"/>
      <c r="O29" s="127"/>
      <c r="P29" s="127"/>
      <c r="Q29" s="65"/>
      <c r="R29" s="65"/>
      <c r="S29" s="65"/>
      <c r="T29" s="65"/>
      <c r="U29" s="65"/>
      <c r="V29" s="140"/>
      <c r="W29" s="68"/>
      <c r="X29" s="152">
        <v>209469.0</v>
      </c>
      <c r="Y29" s="148" t="s">
        <v>300</v>
      </c>
      <c r="Z29" s="148" t="s">
        <v>257</v>
      </c>
      <c r="AA29" s="148">
        <v>963.0</v>
      </c>
      <c r="AB29" s="148">
        <v>50.0</v>
      </c>
      <c r="AC29" s="147"/>
      <c r="AD29" s="149"/>
    </row>
    <row r="30" ht="14.25" customHeight="1">
      <c r="A30" s="107" t="s">
        <v>103</v>
      </c>
      <c r="B30" s="16">
        <v>1013.0</v>
      </c>
      <c r="C30" s="96">
        <v>83.0</v>
      </c>
      <c r="D30" s="97">
        <f t="shared" si="18"/>
        <v>84079</v>
      </c>
      <c r="E30" s="65"/>
      <c r="F30" s="65"/>
      <c r="G30" s="65"/>
      <c r="H30" s="65"/>
      <c r="I30" s="65"/>
      <c r="J30" s="65"/>
      <c r="K30" s="127"/>
      <c r="L30" s="127"/>
      <c r="M30" s="127"/>
      <c r="N30" s="127"/>
      <c r="O30" s="127"/>
      <c r="P30" s="127"/>
      <c r="Q30" s="65"/>
      <c r="R30" s="65"/>
      <c r="S30" s="65"/>
      <c r="T30" s="65"/>
      <c r="U30" s="65"/>
      <c r="V30" s="140"/>
      <c r="W30" s="68"/>
      <c r="X30" s="152">
        <v>209470.0</v>
      </c>
      <c r="Y30" s="148" t="s">
        <v>301</v>
      </c>
      <c r="Z30" s="148" t="s">
        <v>302</v>
      </c>
      <c r="AA30" s="148">
        <v>2000.0</v>
      </c>
      <c r="AB30" s="147"/>
      <c r="AC30" s="147"/>
      <c r="AD30" s="149"/>
    </row>
    <row r="31" ht="14.25" customHeight="1">
      <c r="A31" s="107" t="s">
        <v>104</v>
      </c>
      <c r="B31" s="16">
        <v>1013.0</v>
      </c>
      <c r="C31" s="96">
        <v>87.0</v>
      </c>
      <c r="D31" s="97">
        <f t="shared" si="18"/>
        <v>88131</v>
      </c>
      <c r="E31" s="65"/>
      <c r="F31" s="65"/>
      <c r="G31" s="65"/>
      <c r="H31" s="65"/>
      <c r="I31" s="65"/>
      <c r="J31" s="65"/>
      <c r="K31" s="75" t="s">
        <v>163</v>
      </c>
      <c r="L31" s="76" t="s">
        <v>85</v>
      </c>
      <c r="M31" s="77" t="s">
        <v>164</v>
      </c>
      <c r="N31" s="159" t="s">
        <v>79</v>
      </c>
      <c r="O31" s="78" t="s">
        <v>165</v>
      </c>
      <c r="P31" s="79" t="s">
        <v>92</v>
      </c>
      <c r="Q31" s="79" t="s">
        <v>93</v>
      </c>
      <c r="R31" s="160" t="s">
        <v>94</v>
      </c>
      <c r="S31" s="65"/>
      <c r="T31" s="65"/>
      <c r="U31" s="65"/>
      <c r="V31" s="140"/>
      <c r="W31" s="68"/>
      <c r="X31" s="151"/>
      <c r="Y31" s="147"/>
      <c r="Z31" s="148" t="s">
        <v>257</v>
      </c>
      <c r="AA31" s="148">
        <v>963.0</v>
      </c>
      <c r="AB31" s="148">
        <v>50.0</v>
      </c>
      <c r="AC31" s="147"/>
      <c r="AD31" s="149"/>
    </row>
    <row r="32" ht="14.25" customHeight="1">
      <c r="A32" s="107" t="s">
        <v>126</v>
      </c>
      <c r="B32" s="16">
        <v>1038.0</v>
      </c>
      <c r="C32" s="106">
        <v>0.0</v>
      </c>
      <c r="D32" s="97">
        <f t="shared" si="18"/>
        <v>0</v>
      </c>
      <c r="E32" s="65"/>
      <c r="F32" s="65"/>
      <c r="G32" s="65"/>
      <c r="H32" s="65"/>
      <c r="I32" s="65"/>
      <c r="J32" s="65"/>
      <c r="K32" s="161" t="s">
        <v>102</v>
      </c>
      <c r="L32" s="162"/>
      <c r="M32" s="163"/>
      <c r="N32" s="164"/>
      <c r="O32" s="163"/>
      <c r="P32" s="163"/>
      <c r="Q32" s="163"/>
      <c r="R32" s="165"/>
      <c r="S32" s="166"/>
      <c r="T32" s="166"/>
      <c r="U32" s="166"/>
      <c r="V32" s="167"/>
      <c r="W32" s="68"/>
      <c r="X32" s="151"/>
      <c r="Y32" s="147"/>
      <c r="Z32" s="148" t="s">
        <v>303</v>
      </c>
      <c r="AA32" s="148">
        <v>375.0</v>
      </c>
      <c r="AB32" s="147"/>
      <c r="AC32" s="147"/>
      <c r="AD32" s="149"/>
    </row>
    <row r="33" ht="14.25" customHeight="1">
      <c r="A33" s="107" t="s">
        <v>129</v>
      </c>
      <c r="B33" s="16">
        <v>1038.0</v>
      </c>
      <c r="C33" s="96">
        <v>3.0</v>
      </c>
      <c r="D33" s="97">
        <f t="shared" si="18"/>
        <v>3114</v>
      </c>
      <c r="E33" s="65"/>
      <c r="F33" s="65"/>
      <c r="G33" s="65"/>
      <c r="H33" s="65"/>
      <c r="I33" s="65"/>
      <c r="J33" s="65"/>
      <c r="K33" s="95" t="s">
        <v>107</v>
      </c>
      <c r="L33" s="189" t="str">
        <f>'DAILY STOCKS (TH)'!Q33</f>
        <v/>
      </c>
      <c r="M33" s="108">
        <v>0.0</v>
      </c>
      <c r="N33" s="136">
        <f t="shared" ref="N33:N34" si="19">C4</f>
        <v>0</v>
      </c>
      <c r="O33" s="168"/>
      <c r="P33" s="169">
        <f t="shared" ref="P33:P34" si="20">L33+M33-N33-O33</f>
        <v>0</v>
      </c>
      <c r="Q33" s="168"/>
      <c r="R33" s="171">
        <f t="shared" ref="R33:R34" si="21">Q33-P33</f>
        <v>0</v>
      </c>
      <c r="S33" s="166"/>
      <c r="T33" s="166"/>
      <c r="U33" s="166"/>
      <c r="V33" s="167"/>
      <c r="W33" s="68"/>
      <c r="X33" s="151"/>
      <c r="Y33" s="147"/>
      <c r="Z33" s="148" t="s">
        <v>304</v>
      </c>
      <c r="AA33" s="148">
        <v>180.0</v>
      </c>
      <c r="AB33" s="147"/>
      <c r="AC33" s="147"/>
      <c r="AD33" s="149"/>
    </row>
    <row r="34" ht="15.75" customHeight="1">
      <c r="A34" s="95" t="s">
        <v>132</v>
      </c>
      <c r="B34" s="16">
        <v>1965.0</v>
      </c>
      <c r="C34" s="106">
        <v>0.0</v>
      </c>
      <c r="D34" s="97">
        <f t="shared" si="18"/>
        <v>0</v>
      </c>
      <c r="E34" s="65"/>
      <c r="F34" s="65"/>
      <c r="G34" s="65"/>
      <c r="H34" s="65"/>
      <c r="I34" s="65"/>
      <c r="J34" s="65"/>
      <c r="K34" s="95" t="s">
        <v>111</v>
      </c>
      <c r="L34" s="189">
        <f>'DAILY STOCKS (TH)'!Q34</f>
        <v>12</v>
      </c>
      <c r="M34" s="108">
        <v>0.0</v>
      </c>
      <c r="N34" s="136">
        <f t="shared" si="19"/>
        <v>1</v>
      </c>
      <c r="O34" s="168"/>
      <c r="P34" s="169">
        <f t="shared" si="20"/>
        <v>11</v>
      </c>
      <c r="Q34" s="170">
        <v>11.0</v>
      </c>
      <c r="R34" s="171">
        <f t="shared" si="21"/>
        <v>0</v>
      </c>
      <c r="S34" s="166"/>
      <c r="T34" s="166"/>
      <c r="U34" s="172"/>
      <c r="V34" s="167"/>
      <c r="W34" s="68"/>
      <c r="X34" s="151"/>
      <c r="Y34" s="147"/>
      <c r="Z34" s="148" t="s">
        <v>305</v>
      </c>
      <c r="AA34" s="148">
        <v>20.0</v>
      </c>
      <c r="AB34" s="147"/>
      <c r="AC34" s="147"/>
      <c r="AD34" s="149"/>
    </row>
    <row r="35" ht="15.75" customHeight="1">
      <c r="A35" s="107" t="s">
        <v>135</v>
      </c>
      <c r="B35" s="16">
        <v>4459.0</v>
      </c>
      <c r="C35" s="106">
        <v>0.0</v>
      </c>
      <c r="D35" s="97">
        <f t="shared" si="18"/>
        <v>0</v>
      </c>
      <c r="E35" s="65"/>
      <c r="F35" s="65"/>
      <c r="G35" s="65"/>
      <c r="H35" s="65"/>
      <c r="I35" s="65"/>
      <c r="J35" s="65"/>
      <c r="K35" s="110" t="s">
        <v>114</v>
      </c>
      <c r="L35" s="173"/>
      <c r="M35" s="112"/>
      <c r="N35" s="174"/>
      <c r="O35" s="112"/>
      <c r="P35" s="112"/>
      <c r="Q35" s="112"/>
      <c r="R35" s="175"/>
      <c r="S35" s="166"/>
      <c r="T35" s="166"/>
      <c r="U35" s="166"/>
      <c r="V35" s="167"/>
      <c r="W35" s="68"/>
      <c r="X35" s="152">
        <v>209471.0</v>
      </c>
      <c r="Y35" s="148" t="s">
        <v>273</v>
      </c>
      <c r="Z35" s="148" t="s">
        <v>265</v>
      </c>
      <c r="AA35" s="148">
        <v>938.0</v>
      </c>
      <c r="AB35" s="148">
        <v>100.0</v>
      </c>
      <c r="AC35" s="147"/>
      <c r="AD35" s="149"/>
    </row>
    <row r="36" ht="15.75" customHeight="1">
      <c r="A36" s="107" t="s">
        <v>138</v>
      </c>
      <c r="B36" s="16">
        <v>4459.0</v>
      </c>
      <c r="C36" s="96">
        <v>7.0</v>
      </c>
      <c r="D36" s="97">
        <f t="shared" si="18"/>
        <v>31213</v>
      </c>
      <c r="E36" s="65"/>
      <c r="F36" s="65"/>
      <c r="G36" s="65"/>
      <c r="H36" s="65"/>
      <c r="I36" s="65"/>
      <c r="J36" s="65"/>
      <c r="K36" s="95" t="s">
        <v>118</v>
      </c>
      <c r="L36" s="189">
        <f>'DAILY STOCKS (TH)'!Q36</f>
        <v>18</v>
      </c>
      <c r="M36" s="108">
        <v>0.0</v>
      </c>
      <c r="N36" s="136">
        <f t="shared" ref="N36:N41" si="22">C7</f>
        <v>0</v>
      </c>
      <c r="O36" s="168"/>
      <c r="P36" s="169">
        <f t="shared" ref="P36:P40" si="23">L36+M36-N36-O36</f>
        <v>18</v>
      </c>
      <c r="Q36" s="170">
        <v>18.0</v>
      </c>
      <c r="R36" s="171">
        <f t="shared" ref="R36:R41" si="24">Q36-P36</f>
        <v>0</v>
      </c>
      <c r="S36" s="166"/>
      <c r="T36" s="166"/>
      <c r="U36" s="166"/>
      <c r="V36" s="167"/>
      <c r="W36" s="68"/>
      <c r="X36" s="152">
        <v>209474.0</v>
      </c>
      <c r="Y36" s="148" t="s">
        <v>306</v>
      </c>
      <c r="Z36" s="148" t="s">
        <v>307</v>
      </c>
      <c r="AA36" s="147"/>
      <c r="AB36" s="148">
        <v>2000.0</v>
      </c>
      <c r="AC36" s="233">
        <v>20295.0</v>
      </c>
      <c r="AD36" s="149"/>
    </row>
    <row r="37" ht="15.75" customHeight="1">
      <c r="A37" s="114" t="s">
        <v>173</v>
      </c>
      <c r="B37" s="111"/>
      <c r="C37" s="112"/>
      <c r="D37" s="113"/>
      <c r="E37" s="65"/>
      <c r="F37" s="65"/>
      <c r="G37" s="65"/>
      <c r="H37" s="65"/>
      <c r="I37" s="65"/>
      <c r="J37" s="65"/>
      <c r="K37" s="95" t="s">
        <v>121</v>
      </c>
      <c r="L37" s="189">
        <f>'DAILY STOCKS (TH)'!Q37</f>
        <v>3</v>
      </c>
      <c r="M37" s="108">
        <v>0.0</v>
      </c>
      <c r="N37" s="136">
        <f t="shared" si="22"/>
        <v>1</v>
      </c>
      <c r="O37" s="168"/>
      <c r="P37" s="169">
        <f t="shared" si="23"/>
        <v>2</v>
      </c>
      <c r="Q37" s="170">
        <v>2.0</v>
      </c>
      <c r="R37" s="171">
        <f t="shared" si="24"/>
        <v>0</v>
      </c>
      <c r="S37" s="166"/>
      <c r="T37" s="166"/>
      <c r="U37" s="166"/>
      <c r="V37" s="167"/>
      <c r="W37" s="68"/>
      <c r="X37" s="151"/>
      <c r="Y37" s="147"/>
      <c r="Z37" s="148" t="s">
        <v>308</v>
      </c>
      <c r="AA37" s="147"/>
      <c r="AB37" s="148">
        <v>225.0</v>
      </c>
      <c r="AC37" s="148">
        <v>2814.0</v>
      </c>
      <c r="AD37" s="149"/>
    </row>
    <row r="38" ht="15.75" customHeight="1">
      <c r="A38" s="95" t="s">
        <v>109</v>
      </c>
      <c r="B38" s="176">
        <f t="shared" ref="B38:B48" si="25">B26</f>
        <v>280</v>
      </c>
      <c r="C38" s="106">
        <v>0.0</v>
      </c>
      <c r="D38" s="97">
        <f t="shared" ref="D38:D48" si="26">C38*B38</f>
        <v>0</v>
      </c>
      <c r="E38" s="65"/>
      <c r="F38" s="65"/>
      <c r="G38" s="65"/>
      <c r="H38" s="65"/>
      <c r="I38" s="65"/>
      <c r="J38" s="65"/>
      <c r="K38" s="95" t="s">
        <v>123</v>
      </c>
      <c r="L38" s="189">
        <f>'DAILY STOCKS (TH)'!Q38</f>
        <v>85</v>
      </c>
      <c r="M38" s="108">
        <v>0.0</v>
      </c>
      <c r="N38" s="136">
        <f t="shared" si="22"/>
        <v>1</v>
      </c>
      <c r="O38" s="168"/>
      <c r="P38" s="169">
        <f t="shared" si="23"/>
        <v>84</v>
      </c>
      <c r="Q38" s="170">
        <v>84.0</v>
      </c>
      <c r="R38" s="171">
        <f t="shared" si="24"/>
        <v>0</v>
      </c>
      <c r="S38" s="166"/>
      <c r="T38" s="166"/>
      <c r="U38" s="166"/>
      <c r="V38" s="167"/>
      <c r="W38" s="68"/>
      <c r="X38" s="151"/>
      <c r="Y38" s="147"/>
      <c r="Z38" s="148" t="s">
        <v>282</v>
      </c>
      <c r="AA38" s="147"/>
      <c r="AB38" s="148">
        <v>225.0</v>
      </c>
      <c r="AC38" s="148">
        <v>2814.0</v>
      </c>
      <c r="AD38" s="149"/>
    </row>
    <row r="39" ht="15.75" customHeight="1">
      <c r="A39" s="107" t="s">
        <v>112</v>
      </c>
      <c r="B39" s="176">
        <f t="shared" si="25"/>
        <v>280</v>
      </c>
      <c r="C39" s="96">
        <v>0.0</v>
      </c>
      <c r="D39" s="97">
        <f t="shared" si="26"/>
        <v>0</v>
      </c>
      <c r="E39" s="65"/>
      <c r="F39" s="65"/>
      <c r="G39" s="65"/>
      <c r="H39" s="65"/>
      <c r="I39" s="65"/>
      <c r="J39" s="65"/>
      <c r="K39" s="95" t="s">
        <v>125</v>
      </c>
      <c r="L39" s="189" t="str">
        <f>'DAILY STOCKS (TH)'!Q39</f>
        <v/>
      </c>
      <c r="M39" s="108">
        <v>0.0</v>
      </c>
      <c r="N39" s="136">
        <f t="shared" si="22"/>
        <v>0</v>
      </c>
      <c r="O39" s="168"/>
      <c r="P39" s="169">
        <f t="shared" si="23"/>
        <v>0</v>
      </c>
      <c r="Q39" s="168"/>
      <c r="R39" s="171">
        <f t="shared" si="24"/>
        <v>0</v>
      </c>
      <c r="S39" s="166"/>
      <c r="T39" s="166"/>
      <c r="U39" s="166"/>
      <c r="V39" s="167"/>
      <c r="W39" s="68"/>
      <c r="X39" s="151"/>
      <c r="Y39" s="147"/>
      <c r="Z39" s="148" t="s">
        <v>309</v>
      </c>
      <c r="AA39" s="147"/>
      <c r="AB39" s="148">
        <v>120.0</v>
      </c>
      <c r="AC39" s="148">
        <v>2680.0</v>
      </c>
      <c r="AD39" s="149"/>
    </row>
    <row r="40" ht="15.75" customHeight="1">
      <c r="A40" s="107" t="s">
        <v>115</v>
      </c>
      <c r="B40" s="176">
        <f t="shared" si="25"/>
        <v>688</v>
      </c>
      <c r="C40" s="96">
        <v>0.0</v>
      </c>
      <c r="D40" s="97">
        <f t="shared" si="26"/>
        <v>0</v>
      </c>
      <c r="E40" s="65"/>
      <c r="F40" s="65"/>
      <c r="G40" s="65"/>
      <c r="H40" s="65"/>
      <c r="I40" s="65"/>
      <c r="J40" s="65"/>
      <c r="K40" s="95" t="s">
        <v>128</v>
      </c>
      <c r="L40" s="189" t="str">
        <f>'DAILY STOCKS (TH)'!Q40</f>
        <v/>
      </c>
      <c r="M40" s="108">
        <v>0.0</v>
      </c>
      <c r="N40" s="136">
        <f t="shared" si="22"/>
        <v>0</v>
      </c>
      <c r="O40" s="168"/>
      <c r="P40" s="169">
        <f t="shared" si="23"/>
        <v>0</v>
      </c>
      <c r="Q40" s="168"/>
      <c r="R40" s="171">
        <f t="shared" si="24"/>
        <v>0</v>
      </c>
      <c r="S40" s="166"/>
      <c r="T40" s="166"/>
      <c r="U40" s="166"/>
      <c r="V40" s="167"/>
      <c r="W40" s="68"/>
      <c r="X40" s="152">
        <v>209475.0</v>
      </c>
      <c r="Y40" s="148" t="s">
        <v>168</v>
      </c>
      <c r="Z40" s="148" t="s">
        <v>290</v>
      </c>
      <c r="AA40" s="147"/>
      <c r="AB40" s="148">
        <v>375.0</v>
      </c>
      <c r="AC40" s="148">
        <v>4690.0</v>
      </c>
      <c r="AD40" s="149"/>
    </row>
    <row r="41" ht="15.75" customHeight="1">
      <c r="A41" s="107" t="s">
        <v>119</v>
      </c>
      <c r="B41" s="176">
        <f t="shared" si="25"/>
        <v>688</v>
      </c>
      <c r="C41" s="96">
        <v>0.0</v>
      </c>
      <c r="D41" s="97">
        <f t="shared" si="26"/>
        <v>0</v>
      </c>
      <c r="E41" s="65"/>
      <c r="F41" s="65"/>
      <c r="G41" s="65"/>
      <c r="H41" s="65"/>
      <c r="I41" s="65"/>
      <c r="J41" s="65"/>
      <c r="K41" s="117" t="s">
        <v>131</v>
      </c>
      <c r="L41" s="222">
        <f>'DAILY STOCKS (TH)'!Q41</f>
        <v>3</v>
      </c>
      <c r="M41" s="119">
        <v>0.0</v>
      </c>
      <c r="N41" s="154">
        <f t="shared" si="22"/>
        <v>0</v>
      </c>
      <c r="O41" s="178"/>
      <c r="P41" s="179"/>
      <c r="Q41" s="178"/>
      <c r="R41" s="181">
        <f t="shared" si="24"/>
        <v>0</v>
      </c>
      <c r="S41" s="166"/>
      <c r="T41" s="166"/>
      <c r="U41" s="166"/>
      <c r="V41" s="167"/>
      <c r="W41" s="68"/>
      <c r="X41" s="151"/>
      <c r="Y41" s="147"/>
      <c r="Z41" s="148" t="s">
        <v>310</v>
      </c>
      <c r="AA41" s="147"/>
      <c r="AB41" s="148">
        <v>375.0</v>
      </c>
      <c r="AC41" s="148">
        <v>4690.0</v>
      </c>
      <c r="AD41" s="149"/>
    </row>
    <row r="42" ht="15.75" customHeight="1">
      <c r="A42" s="107" t="s">
        <v>103</v>
      </c>
      <c r="B42" s="176">
        <f t="shared" si="25"/>
        <v>1013</v>
      </c>
      <c r="C42" s="96">
        <v>0.0</v>
      </c>
      <c r="D42" s="97">
        <f t="shared" si="26"/>
        <v>0</v>
      </c>
      <c r="E42" s="65"/>
      <c r="F42" s="65"/>
      <c r="G42" s="65"/>
      <c r="H42" s="65"/>
      <c r="I42" s="65"/>
      <c r="J42" s="65"/>
      <c r="Q42" s="166"/>
      <c r="R42" s="166"/>
      <c r="S42" s="166"/>
      <c r="T42" s="166"/>
      <c r="U42" s="166"/>
      <c r="V42" s="167"/>
      <c r="W42" s="68"/>
      <c r="X42" s="151"/>
      <c r="Y42" s="147"/>
      <c r="Z42" s="148" t="s">
        <v>279</v>
      </c>
      <c r="AA42" s="147"/>
      <c r="AB42" s="148">
        <v>60.0</v>
      </c>
      <c r="AC42" s="148">
        <v>1340.0</v>
      </c>
      <c r="AD42" s="149"/>
    </row>
    <row r="43" ht="15.75" customHeight="1">
      <c r="A43" s="107" t="s">
        <v>104</v>
      </c>
      <c r="B43" s="176">
        <f t="shared" si="25"/>
        <v>1013</v>
      </c>
      <c r="C43" s="96">
        <v>0.0</v>
      </c>
      <c r="D43" s="97">
        <f t="shared" si="26"/>
        <v>0</v>
      </c>
      <c r="E43" s="65"/>
      <c r="F43" s="65"/>
      <c r="G43" s="65"/>
      <c r="H43" s="65"/>
      <c r="I43" s="65"/>
      <c r="J43" s="65"/>
      <c r="Q43" s="166"/>
      <c r="R43" s="166"/>
      <c r="S43" s="166"/>
      <c r="T43" s="166"/>
      <c r="U43" s="166"/>
      <c r="V43" s="167"/>
      <c r="W43" s="68"/>
      <c r="X43" s="152">
        <v>209476.0</v>
      </c>
      <c r="Y43" s="148" t="s">
        <v>311</v>
      </c>
      <c r="Z43" s="148" t="s">
        <v>312</v>
      </c>
      <c r="AA43" s="148">
        <v>3752.0</v>
      </c>
      <c r="AB43" s="148">
        <v>300.0</v>
      </c>
      <c r="AC43" s="147"/>
      <c r="AD43" s="149"/>
    </row>
    <row r="44" ht="15.75" customHeight="1">
      <c r="A44" s="107" t="s">
        <v>126</v>
      </c>
      <c r="B44" s="176">
        <f t="shared" si="25"/>
        <v>1038</v>
      </c>
      <c r="C44" s="106">
        <v>0.0</v>
      </c>
      <c r="D44" s="97">
        <f t="shared" si="26"/>
        <v>0</v>
      </c>
      <c r="E44" s="65"/>
      <c r="F44" s="65"/>
      <c r="G44" s="65"/>
      <c r="H44" s="65"/>
      <c r="I44" s="65"/>
      <c r="J44" s="65"/>
      <c r="K44" s="128" t="s">
        <v>182</v>
      </c>
      <c r="L44" s="72" t="s">
        <v>85</v>
      </c>
      <c r="M44" s="72" t="s">
        <v>92</v>
      </c>
      <c r="N44" s="130" t="s">
        <v>94</v>
      </c>
      <c r="O44" s="224" t="s">
        <v>183</v>
      </c>
      <c r="Q44" s="166"/>
      <c r="R44" s="166"/>
      <c r="S44" s="183"/>
      <c r="T44" s="183"/>
      <c r="U44" s="183"/>
      <c r="V44" s="184"/>
      <c r="W44" s="68"/>
      <c r="X44" s="151"/>
      <c r="Y44" s="147"/>
      <c r="Z44" s="148" t="s">
        <v>262</v>
      </c>
      <c r="AA44" s="148">
        <v>938.0</v>
      </c>
      <c r="AB44" s="148">
        <v>75.0</v>
      </c>
      <c r="AC44" s="147"/>
      <c r="AD44" s="149"/>
    </row>
    <row r="45" ht="15.75" customHeight="1">
      <c r="A45" s="107" t="s">
        <v>129</v>
      </c>
      <c r="B45" s="176">
        <f t="shared" si="25"/>
        <v>1038</v>
      </c>
      <c r="C45" s="106">
        <v>0.0</v>
      </c>
      <c r="D45" s="97">
        <f t="shared" si="26"/>
        <v>0</v>
      </c>
      <c r="E45" s="65"/>
      <c r="F45" s="65"/>
      <c r="G45" s="65"/>
      <c r="H45" s="65"/>
      <c r="I45" s="65"/>
      <c r="J45" s="65"/>
      <c r="K45" s="203" t="s">
        <v>109</v>
      </c>
      <c r="L45" s="101">
        <f t="shared" ref="L45:L55" si="27">L4+L18</f>
        <v>67</v>
      </c>
      <c r="M45" s="132">
        <f t="shared" ref="M45:M55" si="28">T4+Q18</f>
        <v>67</v>
      </c>
      <c r="N45" s="135">
        <f t="shared" ref="N45:N55" si="29">M45-L45</f>
        <v>0</v>
      </c>
      <c r="O45" s="65"/>
      <c r="P45" s="166"/>
      <c r="Q45" s="183"/>
      <c r="R45" s="183"/>
      <c r="S45" s="187"/>
      <c r="T45" s="187"/>
      <c r="U45" s="187"/>
      <c r="V45" s="188"/>
      <c r="W45" s="68"/>
      <c r="X45" s="152">
        <v>209477.0</v>
      </c>
      <c r="Y45" s="148" t="s">
        <v>313</v>
      </c>
      <c r="Z45" s="148" t="s">
        <v>314</v>
      </c>
      <c r="AA45" s="147"/>
      <c r="AB45" s="148">
        <v>400.0</v>
      </c>
      <c r="AC45" s="148">
        <v>4059.0</v>
      </c>
      <c r="AD45" s="149"/>
    </row>
    <row r="46" ht="15.75" customHeight="1">
      <c r="A46" s="95" t="s">
        <v>132</v>
      </c>
      <c r="B46" s="176">
        <f t="shared" si="25"/>
        <v>1965</v>
      </c>
      <c r="C46" s="106">
        <v>0.0</v>
      </c>
      <c r="D46" s="97">
        <f t="shared" si="26"/>
        <v>0</v>
      </c>
      <c r="E46" s="68"/>
      <c r="F46" s="68"/>
      <c r="G46" s="68"/>
      <c r="H46" s="68"/>
      <c r="I46" s="68"/>
      <c r="J46" s="68"/>
      <c r="K46" s="98" t="s">
        <v>112</v>
      </c>
      <c r="L46" s="189">
        <f t="shared" si="27"/>
        <v>18</v>
      </c>
      <c r="M46" s="136">
        <f t="shared" si="28"/>
        <v>18</v>
      </c>
      <c r="N46" s="139">
        <f t="shared" si="29"/>
        <v>0</v>
      </c>
      <c r="O46" s="65"/>
      <c r="P46" s="187"/>
      <c r="Q46" s="187"/>
      <c r="R46" s="187"/>
      <c r="S46" s="187"/>
      <c r="T46" s="187"/>
      <c r="U46" s="187"/>
      <c r="V46" s="188"/>
      <c r="W46" s="68"/>
      <c r="X46" s="151"/>
      <c r="Y46" s="147"/>
      <c r="Z46" s="148" t="s">
        <v>315</v>
      </c>
      <c r="AA46" s="147"/>
      <c r="AB46" s="148">
        <v>150.0</v>
      </c>
      <c r="AC46" s="148">
        <v>1926.0</v>
      </c>
      <c r="AD46" s="149"/>
    </row>
    <row r="47" ht="15.75" customHeight="1">
      <c r="A47" s="107" t="s">
        <v>135</v>
      </c>
      <c r="B47" s="176">
        <f t="shared" si="25"/>
        <v>4459</v>
      </c>
      <c r="C47" s="106">
        <v>0.0</v>
      </c>
      <c r="D47" s="97">
        <f t="shared" si="26"/>
        <v>0</v>
      </c>
      <c r="E47" s="68"/>
      <c r="F47" s="68"/>
      <c r="G47" s="68"/>
      <c r="H47" s="68"/>
      <c r="I47" s="68"/>
      <c r="J47" s="68"/>
      <c r="K47" s="204" t="s">
        <v>188</v>
      </c>
      <c r="L47" s="189">
        <f t="shared" si="27"/>
        <v>19</v>
      </c>
      <c r="M47" s="136">
        <f t="shared" si="28"/>
        <v>19</v>
      </c>
      <c r="N47" s="139">
        <f t="shared" si="29"/>
        <v>0</v>
      </c>
      <c r="O47" s="65"/>
      <c r="P47" s="187"/>
      <c r="Q47" s="187"/>
      <c r="R47" s="187"/>
      <c r="S47" s="187"/>
      <c r="T47" s="187"/>
      <c r="U47" s="187"/>
      <c r="V47" s="188"/>
      <c r="W47" s="68"/>
      <c r="X47" s="151"/>
      <c r="Y47" s="147"/>
      <c r="Z47" s="148" t="s">
        <v>316</v>
      </c>
      <c r="AA47" s="147"/>
      <c r="AB47" s="148">
        <v>150.0</v>
      </c>
      <c r="AC47" s="148">
        <v>1876.0</v>
      </c>
      <c r="AD47" s="149"/>
    </row>
    <row r="48" ht="15.75" customHeight="1">
      <c r="A48" s="107" t="s">
        <v>138</v>
      </c>
      <c r="B48" s="190">
        <f t="shared" si="25"/>
        <v>4459</v>
      </c>
      <c r="C48" s="191">
        <v>0.0</v>
      </c>
      <c r="D48" s="97">
        <f t="shared" si="26"/>
        <v>0</v>
      </c>
      <c r="E48" s="68"/>
      <c r="F48" s="68"/>
      <c r="G48" s="68"/>
      <c r="H48" s="68"/>
      <c r="I48" s="68"/>
      <c r="J48" s="68"/>
      <c r="K48" s="204" t="s">
        <v>190</v>
      </c>
      <c r="L48" s="189">
        <f t="shared" si="27"/>
        <v>31</v>
      </c>
      <c r="M48" s="136">
        <f t="shared" si="28"/>
        <v>31</v>
      </c>
      <c r="N48" s="139">
        <f t="shared" si="29"/>
        <v>0</v>
      </c>
      <c r="O48" s="65"/>
      <c r="P48" s="187"/>
      <c r="Q48" s="187"/>
      <c r="R48" s="187"/>
      <c r="S48" s="187"/>
      <c r="T48" s="187"/>
      <c r="U48" s="187"/>
      <c r="V48" s="188"/>
      <c r="W48" s="68"/>
      <c r="X48" s="151"/>
      <c r="Y48" s="147"/>
      <c r="Z48" s="148" t="s">
        <v>290</v>
      </c>
      <c r="AA48" s="147"/>
      <c r="AB48" s="148">
        <v>375.0</v>
      </c>
      <c r="AC48" s="148">
        <v>4690.0</v>
      </c>
      <c r="AD48" s="149"/>
    </row>
    <row r="49" ht="15.75" customHeight="1">
      <c r="A49" s="128" t="s">
        <v>80</v>
      </c>
      <c r="B49" s="192"/>
      <c r="C49" s="64"/>
      <c r="D49" s="193">
        <f>sum(D4:D48)</f>
        <v>224053</v>
      </c>
      <c r="E49" s="68"/>
      <c r="F49" s="68"/>
      <c r="G49" s="68"/>
      <c r="H49" s="68"/>
      <c r="I49" s="68"/>
      <c r="J49" s="68"/>
      <c r="K49" s="204" t="s">
        <v>191</v>
      </c>
      <c r="L49" s="189">
        <f t="shared" si="27"/>
        <v>168</v>
      </c>
      <c r="M49" s="136">
        <f t="shared" si="28"/>
        <v>165</v>
      </c>
      <c r="N49" s="139">
        <f t="shared" si="29"/>
        <v>-3</v>
      </c>
      <c r="O49" s="221" t="s">
        <v>317</v>
      </c>
      <c r="P49" s="187"/>
      <c r="Q49" s="187"/>
      <c r="R49" s="187"/>
      <c r="S49" s="187"/>
      <c r="T49" s="187"/>
      <c r="U49" s="187"/>
      <c r="V49" s="188"/>
      <c r="W49" s="68"/>
      <c r="X49" s="151"/>
      <c r="Y49" s="147"/>
      <c r="Z49" s="148" t="s">
        <v>318</v>
      </c>
      <c r="AA49" s="147"/>
      <c r="AB49" s="148">
        <v>48.0</v>
      </c>
      <c r="AC49" s="148">
        <v>1072.0</v>
      </c>
      <c r="AD49" s="149"/>
    </row>
    <row r="50" ht="15.75" customHeight="1">
      <c r="A50" s="194"/>
      <c r="B50" s="54"/>
      <c r="C50" s="65"/>
      <c r="D50" s="59"/>
      <c r="E50" s="68"/>
      <c r="F50" s="68"/>
      <c r="G50" s="68"/>
      <c r="H50" s="68"/>
      <c r="I50" s="68"/>
      <c r="J50" s="68"/>
      <c r="K50" s="204" t="s">
        <v>194</v>
      </c>
      <c r="L50" s="189">
        <f t="shared" si="27"/>
        <v>150</v>
      </c>
      <c r="M50" s="136">
        <f t="shared" si="28"/>
        <v>140</v>
      </c>
      <c r="N50" s="139">
        <f t="shared" si="29"/>
        <v>-10</v>
      </c>
      <c r="O50" s="221" t="s">
        <v>317</v>
      </c>
      <c r="P50" s="187"/>
      <c r="Q50" s="187"/>
      <c r="R50" s="187"/>
      <c r="S50" s="187"/>
      <c r="T50" s="187"/>
      <c r="U50" s="187"/>
      <c r="V50" s="188"/>
      <c r="W50" s="68"/>
      <c r="X50" s="152">
        <v>209479.0</v>
      </c>
      <c r="Y50" s="148" t="s">
        <v>319</v>
      </c>
      <c r="Z50" s="148" t="s">
        <v>297</v>
      </c>
      <c r="AA50" s="148">
        <v>667.0</v>
      </c>
      <c r="AB50" s="148">
        <v>21.0</v>
      </c>
      <c r="AC50" s="147"/>
      <c r="AD50" s="149"/>
    </row>
    <row r="51" ht="15.75" customHeight="1">
      <c r="A51" s="195"/>
      <c r="B51" s="196"/>
      <c r="C51" s="127"/>
      <c r="D51" s="59"/>
      <c r="E51" s="68"/>
      <c r="F51" s="68"/>
      <c r="G51" s="68"/>
      <c r="H51" s="68"/>
      <c r="I51" s="68"/>
      <c r="J51" s="68"/>
      <c r="K51" s="204" t="s">
        <v>197</v>
      </c>
      <c r="L51" s="189">
        <f t="shared" si="27"/>
        <v>10</v>
      </c>
      <c r="M51" s="136">
        <f t="shared" si="28"/>
        <v>10</v>
      </c>
      <c r="N51" s="139">
        <f t="shared" si="29"/>
        <v>0</v>
      </c>
      <c r="O51" s="65"/>
      <c r="P51" s="187"/>
      <c r="Q51" s="187"/>
      <c r="R51" s="187"/>
      <c r="S51" s="187"/>
      <c r="T51" s="187"/>
      <c r="U51" s="187"/>
      <c r="V51" s="188"/>
      <c r="W51" s="68"/>
      <c r="X51" s="151"/>
      <c r="Y51" s="147"/>
      <c r="Z51" s="148" t="s">
        <v>320</v>
      </c>
      <c r="AA51" s="148">
        <v>259.0</v>
      </c>
      <c r="AB51" s="148">
        <v>126.0</v>
      </c>
      <c r="AC51" s="148">
        <v>1295.0</v>
      </c>
      <c r="AD51" s="149"/>
    </row>
    <row r="52" ht="15.75" customHeight="1">
      <c r="A52" s="197" t="s">
        <v>199</v>
      </c>
      <c r="B52" s="71" t="s">
        <v>200</v>
      </c>
      <c r="C52" s="65"/>
      <c r="D52" s="59"/>
      <c r="E52" s="68"/>
      <c r="F52" s="68"/>
      <c r="G52" s="68"/>
      <c r="H52" s="68"/>
      <c r="I52" s="68"/>
      <c r="J52" s="68"/>
      <c r="K52" s="204" t="s">
        <v>201</v>
      </c>
      <c r="L52" s="189">
        <f t="shared" si="27"/>
        <v>75</v>
      </c>
      <c r="M52" s="136">
        <f t="shared" si="28"/>
        <v>75</v>
      </c>
      <c r="N52" s="139">
        <f t="shared" si="29"/>
        <v>0</v>
      </c>
      <c r="O52" s="65"/>
      <c r="P52" s="187"/>
      <c r="Q52" s="187"/>
      <c r="R52" s="187"/>
      <c r="S52" s="187"/>
      <c r="T52" s="187"/>
      <c r="U52" s="187"/>
      <c r="V52" s="188"/>
      <c r="W52" s="68"/>
      <c r="X52" s="151"/>
      <c r="Y52" s="147"/>
      <c r="Z52" s="148" t="s">
        <v>290</v>
      </c>
      <c r="AA52" s="148">
        <v>4475.0</v>
      </c>
      <c r="AB52" s="148">
        <v>590.0</v>
      </c>
      <c r="AC52" s="147"/>
      <c r="AD52" s="149"/>
    </row>
    <row r="53" ht="15.75" customHeight="1">
      <c r="A53" s="95" t="s">
        <v>109</v>
      </c>
      <c r="B53" s="198">
        <v>1200.0</v>
      </c>
      <c r="C53" s="127"/>
      <c r="D53" s="59"/>
      <c r="K53" s="204" t="s">
        <v>132</v>
      </c>
      <c r="L53" s="189">
        <f t="shared" si="27"/>
        <v>6</v>
      </c>
      <c r="M53" s="136">
        <f t="shared" si="28"/>
        <v>6</v>
      </c>
      <c r="N53" s="139">
        <f t="shared" si="29"/>
        <v>0</v>
      </c>
      <c r="O53" s="65"/>
      <c r="P53" s="187"/>
      <c r="Q53" s="187"/>
      <c r="R53" s="187"/>
      <c r="S53" s="187"/>
      <c r="T53" s="187"/>
      <c r="U53" s="187"/>
      <c r="V53" s="188"/>
      <c r="X53" s="143"/>
      <c r="Y53" s="137"/>
      <c r="Z53" s="141" t="s">
        <v>310</v>
      </c>
      <c r="AA53" s="141">
        <v>4475.0</v>
      </c>
      <c r="AB53" s="141">
        <v>590.0</v>
      </c>
      <c r="AC53" s="137"/>
      <c r="AD53" s="144"/>
    </row>
    <row r="54" ht="15.75" customHeight="1">
      <c r="A54" s="107" t="s">
        <v>112</v>
      </c>
      <c r="B54" s="199">
        <v>1200.0</v>
      </c>
      <c r="C54" s="127"/>
      <c r="D54" s="200"/>
      <c r="K54" s="204" t="s">
        <v>204</v>
      </c>
      <c r="L54" s="189">
        <f t="shared" si="27"/>
        <v>26</v>
      </c>
      <c r="M54" s="136">
        <f t="shared" si="28"/>
        <v>26</v>
      </c>
      <c r="N54" s="139">
        <f t="shared" si="29"/>
        <v>0</v>
      </c>
      <c r="O54" s="65"/>
      <c r="P54" s="187"/>
      <c r="Q54" s="187"/>
      <c r="R54" s="187"/>
      <c r="S54" s="187"/>
      <c r="T54" s="187"/>
      <c r="U54" s="187"/>
      <c r="V54" s="188"/>
      <c r="X54" s="177">
        <v>209480.0</v>
      </c>
      <c r="Y54" s="141" t="s">
        <v>321</v>
      </c>
      <c r="Z54" s="141" t="s">
        <v>259</v>
      </c>
      <c r="AA54" s="141">
        <v>280.0</v>
      </c>
      <c r="AB54" s="137"/>
      <c r="AC54" s="137"/>
      <c r="AD54" s="144"/>
    </row>
    <row r="55" ht="15.75" customHeight="1">
      <c r="A55" s="107" t="s">
        <v>115</v>
      </c>
      <c r="B55" s="199">
        <v>1900.0</v>
      </c>
      <c r="C55" s="127"/>
      <c r="D55" s="196"/>
      <c r="K55" s="209" t="s">
        <v>206</v>
      </c>
      <c r="L55" s="222">
        <f t="shared" si="27"/>
        <v>21</v>
      </c>
      <c r="M55" s="154">
        <f t="shared" si="28"/>
        <v>21</v>
      </c>
      <c r="N55" s="158">
        <f t="shared" si="29"/>
        <v>0</v>
      </c>
      <c r="O55" s="65"/>
      <c r="P55" s="187"/>
      <c r="Q55" s="187"/>
      <c r="R55" s="187"/>
      <c r="S55" s="187"/>
      <c r="T55" s="187"/>
      <c r="U55" s="187"/>
      <c r="V55" s="188"/>
      <c r="X55" s="177">
        <v>209481.0</v>
      </c>
      <c r="Y55" s="141" t="s">
        <v>322</v>
      </c>
      <c r="Z55" s="141" t="s">
        <v>259</v>
      </c>
      <c r="AA55" s="141">
        <v>280.0</v>
      </c>
      <c r="AB55" s="137"/>
      <c r="AC55" s="137"/>
      <c r="AD55" s="144"/>
    </row>
    <row r="56" ht="15.75" customHeight="1">
      <c r="A56" s="107" t="s">
        <v>119</v>
      </c>
      <c r="B56" s="199">
        <v>1900.0</v>
      </c>
      <c r="C56" s="127"/>
      <c r="D56" s="196"/>
      <c r="E56" s="65"/>
      <c r="F56" s="65"/>
      <c r="G56" s="65"/>
      <c r="H56" s="65"/>
      <c r="I56" s="65"/>
      <c r="J56" s="65"/>
      <c r="K56" s="166"/>
      <c r="L56" s="201"/>
      <c r="P56" s="187"/>
      <c r="Q56" s="187"/>
      <c r="R56" s="187"/>
      <c r="S56" s="187"/>
      <c r="T56" s="187"/>
      <c r="U56" s="187"/>
      <c r="V56" s="188"/>
      <c r="X56" s="177">
        <v>209482.0</v>
      </c>
      <c r="Y56" s="141" t="s">
        <v>323</v>
      </c>
      <c r="Z56" s="141" t="s">
        <v>262</v>
      </c>
      <c r="AA56" s="141">
        <v>963.0</v>
      </c>
      <c r="AB56" s="141">
        <v>50.0</v>
      </c>
      <c r="AC56" s="137"/>
      <c r="AD56" s="144"/>
    </row>
    <row r="57" ht="15.75" customHeight="1">
      <c r="A57" s="107" t="s">
        <v>103</v>
      </c>
      <c r="B57" s="199">
        <v>2000.0</v>
      </c>
      <c r="C57" s="127"/>
      <c r="D57" s="196"/>
      <c r="E57" s="65"/>
      <c r="F57" s="65"/>
      <c r="G57" s="65"/>
      <c r="H57" s="65"/>
      <c r="I57" s="65"/>
      <c r="J57" s="65"/>
      <c r="K57" s="166"/>
      <c r="L57" s="202"/>
      <c r="M57" s="166"/>
      <c r="N57" s="166"/>
      <c r="O57" s="166"/>
      <c r="P57" s="187"/>
      <c r="Q57" s="187"/>
      <c r="R57" s="187"/>
      <c r="X57" s="177">
        <v>209483.0</v>
      </c>
      <c r="Y57" s="141" t="s">
        <v>324</v>
      </c>
      <c r="Z57" s="141" t="s">
        <v>262</v>
      </c>
      <c r="AA57" s="141">
        <v>988.0</v>
      </c>
      <c r="AB57" s="141">
        <v>25.0</v>
      </c>
      <c r="AC57" s="137"/>
      <c r="AD57" s="144"/>
    </row>
    <row r="58" ht="15.75" customHeight="1">
      <c r="A58" s="107" t="s">
        <v>104</v>
      </c>
      <c r="B58" s="199">
        <v>2000.0</v>
      </c>
      <c r="C58" s="127"/>
      <c r="D58" s="196"/>
      <c r="E58" s="65"/>
      <c r="F58" s="65"/>
      <c r="G58" s="65"/>
      <c r="H58" s="65"/>
      <c r="I58" s="65"/>
      <c r="J58" s="65"/>
      <c r="K58" s="128" t="s">
        <v>90</v>
      </c>
      <c r="L58" s="72" t="s">
        <v>85</v>
      </c>
      <c r="M58" s="128" t="s">
        <v>90</v>
      </c>
      <c r="N58" s="72" t="s">
        <v>145</v>
      </c>
      <c r="O58" s="72" t="s">
        <v>92</v>
      </c>
      <c r="X58" s="177">
        <v>209484.0</v>
      </c>
      <c r="Y58" s="141" t="s">
        <v>325</v>
      </c>
      <c r="Z58" s="141" t="s">
        <v>257</v>
      </c>
      <c r="AA58" s="141">
        <v>938.0</v>
      </c>
      <c r="AB58" s="141">
        <v>75.0</v>
      </c>
      <c r="AC58" s="137"/>
      <c r="AD58" s="144"/>
    </row>
    <row r="59" ht="15.75" customHeight="1">
      <c r="A59" s="107" t="s">
        <v>126</v>
      </c>
      <c r="B59" s="199">
        <v>3700.0</v>
      </c>
      <c r="C59" s="127"/>
      <c r="D59" s="196"/>
      <c r="E59" s="65"/>
      <c r="F59" s="65"/>
      <c r="G59" s="65"/>
      <c r="H59" s="65"/>
      <c r="I59" s="65"/>
      <c r="J59" s="65"/>
      <c r="K59" s="203" t="s">
        <v>109</v>
      </c>
      <c r="L59" s="101">
        <f>'DAILY STOCKS (TH)'!O59</f>
        <v>0</v>
      </c>
      <c r="M59" s="132">
        <f t="shared" ref="M59:M69" si="30">R4</f>
        <v>0</v>
      </c>
      <c r="N59" s="132" t="str">
        <f t="shared" ref="N59:N69" si="31">P18</f>
        <v/>
      </c>
      <c r="O59" s="135">
        <f t="shared" ref="O59:O69" si="32">L59+M59-N59</f>
        <v>0</v>
      </c>
      <c r="X59" s="143"/>
      <c r="Y59" s="137"/>
      <c r="Z59" s="141" t="s">
        <v>308</v>
      </c>
      <c r="AA59" s="141">
        <v>2814.0</v>
      </c>
      <c r="AB59" s="141">
        <v>225.0</v>
      </c>
      <c r="AC59" s="137"/>
      <c r="AD59" s="144"/>
    </row>
    <row r="60" ht="15.75" customHeight="1">
      <c r="A60" s="107" t="s">
        <v>129</v>
      </c>
      <c r="B60" s="199">
        <v>3700.0</v>
      </c>
      <c r="C60" s="127"/>
      <c r="D60" s="196"/>
      <c r="E60" s="65"/>
      <c r="F60" s="65"/>
      <c r="G60" s="65"/>
      <c r="H60" s="65"/>
      <c r="I60" s="65"/>
      <c r="J60" s="65"/>
      <c r="K60" s="98" t="s">
        <v>112</v>
      </c>
      <c r="L60" s="101">
        <f>'DAILY STOCKS (TH)'!O60</f>
        <v>0</v>
      </c>
      <c r="M60" s="136">
        <f t="shared" si="30"/>
        <v>0</v>
      </c>
      <c r="N60" s="136" t="str">
        <f t="shared" si="31"/>
        <v/>
      </c>
      <c r="O60" s="139">
        <f t="shared" si="32"/>
        <v>0</v>
      </c>
      <c r="X60" s="177">
        <v>209485.0</v>
      </c>
      <c r="Y60" s="141" t="s">
        <v>326</v>
      </c>
      <c r="Z60" s="141" t="s">
        <v>257</v>
      </c>
      <c r="AA60" s="141">
        <v>963.0</v>
      </c>
      <c r="AB60" s="141">
        <v>50.0</v>
      </c>
      <c r="AC60" s="137"/>
      <c r="AD60" s="144"/>
    </row>
    <row r="61" ht="15.75" customHeight="1">
      <c r="A61" s="95" t="s">
        <v>132</v>
      </c>
      <c r="B61" s="199">
        <v>3700.0</v>
      </c>
      <c r="C61" s="127"/>
      <c r="D61" s="59"/>
      <c r="E61" s="65"/>
      <c r="F61" s="65"/>
      <c r="G61" s="65"/>
      <c r="H61" s="65"/>
      <c r="I61" s="65"/>
      <c r="J61" s="65"/>
      <c r="K61" s="204" t="s">
        <v>188</v>
      </c>
      <c r="L61" s="101">
        <f>'DAILY STOCKS (TH)'!O61</f>
        <v>0</v>
      </c>
      <c r="M61" s="136">
        <f t="shared" si="30"/>
        <v>0</v>
      </c>
      <c r="N61" s="136" t="str">
        <f t="shared" si="31"/>
        <v/>
      </c>
      <c r="O61" s="139">
        <f t="shared" si="32"/>
        <v>0</v>
      </c>
      <c r="X61" s="177">
        <v>209486.0</v>
      </c>
      <c r="Y61" s="141" t="s">
        <v>136</v>
      </c>
      <c r="Z61" s="141" t="s">
        <v>283</v>
      </c>
      <c r="AA61" s="137"/>
      <c r="AB61" s="137"/>
      <c r="AC61" s="141">
        <v>2026.0</v>
      </c>
      <c r="AD61" s="144"/>
    </row>
    <row r="62" ht="15.75" customHeight="1">
      <c r="A62" s="107" t="s">
        <v>135</v>
      </c>
      <c r="B62" s="199">
        <v>5000.0</v>
      </c>
      <c r="C62" s="127"/>
      <c r="D62" s="59"/>
      <c r="E62" s="65"/>
      <c r="F62" s="65"/>
      <c r="G62" s="65"/>
      <c r="H62" s="65"/>
      <c r="I62" s="65"/>
      <c r="J62" s="65"/>
      <c r="K62" s="204" t="s">
        <v>190</v>
      </c>
      <c r="L62" s="101">
        <f>'DAILY STOCKS (TH)'!O62</f>
        <v>0</v>
      </c>
      <c r="M62" s="136">
        <f t="shared" si="30"/>
        <v>0</v>
      </c>
      <c r="N62" s="136" t="str">
        <f t="shared" si="31"/>
        <v/>
      </c>
      <c r="O62" s="139">
        <f t="shared" si="32"/>
        <v>0</v>
      </c>
      <c r="X62" s="143"/>
      <c r="Y62" s="137"/>
      <c r="Z62" s="141" t="s">
        <v>316</v>
      </c>
      <c r="AA62" s="137"/>
      <c r="AB62" s="137"/>
      <c r="AC62" s="141">
        <v>2026.0</v>
      </c>
      <c r="AD62" s="144"/>
    </row>
    <row r="63" ht="15.75" customHeight="1">
      <c r="A63" s="117" t="s">
        <v>138</v>
      </c>
      <c r="B63" s="205">
        <v>5000.0</v>
      </c>
      <c r="C63" s="127"/>
      <c r="D63" s="59"/>
      <c r="E63" s="65"/>
      <c r="F63" s="65"/>
      <c r="G63" s="65"/>
      <c r="H63" s="65"/>
      <c r="I63" s="65"/>
      <c r="J63" s="65"/>
      <c r="K63" s="204" t="s">
        <v>191</v>
      </c>
      <c r="L63" s="101">
        <f>'DAILY STOCKS (TH)'!O63</f>
        <v>-1</v>
      </c>
      <c r="M63" s="136">
        <f t="shared" si="30"/>
        <v>0</v>
      </c>
      <c r="N63" s="136" t="str">
        <f t="shared" si="31"/>
        <v/>
      </c>
      <c r="O63" s="139">
        <f t="shared" si="32"/>
        <v>-1</v>
      </c>
      <c r="X63" s="177">
        <v>209487.0</v>
      </c>
      <c r="Y63" s="141" t="s">
        <v>327</v>
      </c>
      <c r="Z63" s="141" t="s">
        <v>296</v>
      </c>
      <c r="AA63" s="141">
        <v>688.0</v>
      </c>
      <c r="AB63" s="137"/>
      <c r="AC63" s="137"/>
      <c r="AD63" s="144"/>
    </row>
    <row r="64" ht="15.75" customHeight="1">
      <c r="A64" s="195"/>
      <c r="B64" s="206"/>
      <c r="C64" s="65"/>
      <c r="D64" s="59"/>
      <c r="E64" s="65"/>
      <c r="F64" s="65"/>
      <c r="G64" s="65"/>
      <c r="H64" s="65"/>
      <c r="I64" s="65"/>
      <c r="J64" s="65"/>
      <c r="K64" s="204" t="s">
        <v>194</v>
      </c>
      <c r="L64" s="101">
        <f>'DAILY STOCKS (TH)'!O64</f>
        <v>0</v>
      </c>
      <c r="M64" s="136">
        <f t="shared" si="30"/>
        <v>0</v>
      </c>
      <c r="N64" s="136" t="str">
        <f t="shared" si="31"/>
        <v/>
      </c>
      <c r="O64" s="139">
        <f t="shared" si="32"/>
        <v>0</v>
      </c>
      <c r="X64" s="177">
        <v>209488.0</v>
      </c>
      <c r="Y64" s="141" t="s">
        <v>328</v>
      </c>
      <c r="Z64" s="141" t="s">
        <v>296</v>
      </c>
      <c r="AA64" s="141">
        <v>688.0</v>
      </c>
      <c r="AB64" s="137"/>
      <c r="AC64" s="137"/>
      <c r="AD64" s="144"/>
    </row>
    <row r="65" ht="15.75" customHeight="1">
      <c r="A65" s="195"/>
      <c r="B65" s="206"/>
      <c r="C65" s="207"/>
      <c r="D65" s="206"/>
      <c r="E65" s="65"/>
      <c r="F65" s="65"/>
      <c r="G65" s="65"/>
      <c r="H65" s="65"/>
      <c r="I65" s="65"/>
      <c r="J65" s="65"/>
      <c r="K65" s="204" t="s">
        <v>197</v>
      </c>
      <c r="L65" s="101">
        <f>'DAILY STOCKS (TH)'!O65</f>
        <v>0</v>
      </c>
      <c r="M65" s="136">
        <f t="shared" si="30"/>
        <v>0</v>
      </c>
      <c r="N65" s="136" t="str">
        <f t="shared" si="31"/>
        <v/>
      </c>
      <c r="O65" s="139">
        <f t="shared" si="32"/>
        <v>0</v>
      </c>
      <c r="X65" s="177">
        <v>209489.0</v>
      </c>
      <c r="Y65" s="141" t="s">
        <v>136</v>
      </c>
      <c r="Z65" s="141" t="s">
        <v>316</v>
      </c>
      <c r="AA65" s="137"/>
      <c r="AB65" s="137"/>
      <c r="AC65" s="141">
        <v>2026.0</v>
      </c>
      <c r="AD65" s="144"/>
    </row>
    <row r="66" ht="15.75" customHeight="1">
      <c r="A66" s="195"/>
      <c r="B66" s="206"/>
      <c r="C66" s="207"/>
      <c r="D66" s="206"/>
      <c r="E66" s="208"/>
      <c r="F66" s="208"/>
      <c r="G66" s="208"/>
      <c r="H66" s="208"/>
      <c r="I66" s="208"/>
      <c r="J66" s="208"/>
      <c r="K66" s="204" t="s">
        <v>201</v>
      </c>
      <c r="L66" s="101">
        <f>'DAILY STOCKS (TH)'!O66</f>
        <v>0</v>
      </c>
      <c r="M66" s="136">
        <f t="shared" si="30"/>
        <v>0</v>
      </c>
      <c r="N66" s="136" t="str">
        <f t="shared" si="31"/>
        <v/>
      </c>
      <c r="O66" s="139">
        <f t="shared" si="32"/>
        <v>0</v>
      </c>
      <c r="S66" s="187"/>
      <c r="T66" s="187"/>
      <c r="U66" s="187"/>
      <c r="V66" s="188"/>
      <c r="X66" s="143"/>
      <c r="Y66" s="137"/>
      <c r="Z66" s="141" t="s">
        <v>262</v>
      </c>
      <c r="AA66" s="137"/>
      <c r="AB66" s="137"/>
      <c r="AC66" s="141">
        <v>1013.0</v>
      </c>
      <c r="AD66" s="144"/>
    </row>
    <row r="67" ht="15.75" customHeight="1">
      <c r="A67" s="195"/>
      <c r="B67" s="206"/>
      <c r="C67" s="207"/>
      <c r="D67" s="206"/>
      <c r="E67" s="65"/>
      <c r="F67" s="65"/>
      <c r="G67" s="65"/>
      <c r="H67" s="65"/>
      <c r="I67" s="65"/>
      <c r="J67" s="65"/>
      <c r="K67" s="204" t="s">
        <v>132</v>
      </c>
      <c r="L67" s="101">
        <f>'DAILY STOCKS (TH)'!O67</f>
        <v>0</v>
      </c>
      <c r="M67" s="136">
        <f t="shared" si="30"/>
        <v>0</v>
      </c>
      <c r="N67" s="136" t="str">
        <f t="shared" si="31"/>
        <v/>
      </c>
      <c r="O67" s="139">
        <f t="shared" si="32"/>
        <v>0</v>
      </c>
      <c r="P67" s="187"/>
      <c r="Q67" s="187"/>
      <c r="R67" s="187"/>
      <c r="S67" s="187"/>
      <c r="T67" s="187"/>
      <c r="U67" s="187"/>
      <c r="V67" s="188"/>
      <c r="X67" s="177">
        <v>209490.0</v>
      </c>
      <c r="Y67" s="141" t="s">
        <v>140</v>
      </c>
      <c r="Z67" s="141" t="s">
        <v>329</v>
      </c>
      <c r="AA67" s="137"/>
      <c r="AB67" s="137"/>
      <c r="AC67" s="141">
        <v>5065.0</v>
      </c>
      <c r="AD67" s="144"/>
    </row>
    <row r="68" ht="15.75" customHeight="1">
      <c r="A68" s="195"/>
      <c r="B68" s="206"/>
      <c r="C68" s="207"/>
      <c r="D68" s="206"/>
      <c r="E68" s="65"/>
      <c r="F68" s="65"/>
      <c r="G68" s="65"/>
      <c r="H68" s="65"/>
      <c r="I68" s="65"/>
      <c r="J68" s="65"/>
      <c r="K68" s="204" t="s">
        <v>204</v>
      </c>
      <c r="L68" s="101">
        <f>'DAILY STOCKS (TH)'!O68</f>
        <v>0</v>
      </c>
      <c r="M68" s="136">
        <f t="shared" si="30"/>
        <v>0</v>
      </c>
      <c r="N68" s="136" t="str">
        <f t="shared" si="31"/>
        <v/>
      </c>
      <c r="O68" s="139">
        <f t="shared" si="32"/>
        <v>0</v>
      </c>
      <c r="P68" s="187"/>
      <c r="Q68" s="187"/>
      <c r="R68" s="187"/>
      <c r="S68" s="187"/>
      <c r="T68" s="187"/>
      <c r="U68" s="187"/>
      <c r="V68" s="188"/>
      <c r="X68" s="143"/>
      <c r="Y68" s="137"/>
      <c r="Z68" s="141" t="s">
        <v>283</v>
      </c>
      <c r="AA68" s="137"/>
      <c r="AB68" s="137"/>
      <c r="AC68" s="141">
        <v>2026.0</v>
      </c>
      <c r="AD68" s="144"/>
    </row>
    <row r="69" ht="15.75" customHeight="1">
      <c r="A69" s="195"/>
      <c r="B69" s="206"/>
      <c r="C69" s="207"/>
      <c r="D69" s="206"/>
      <c r="E69" s="65"/>
      <c r="F69" s="65"/>
      <c r="G69" s="65"/>
      <c r="H69" s="65"/>
      <c r="I69" s="65"/>
      <c r="J69" s="65"/>
      <c r="K69" s="209" t="s">
        <v>206</v>
      </c>
      <c r="L69" s="122">
        <f>'DAILY STOCKS (TH)'!O69</f>
        <v>0</v>
      </c>
      <c r="M69" s="154">
        <f t="shared" si="30"/>
        <v>0</v>
      </c>
      <c r="N69" s="154" t="str">
        <f t="shared" si="31"/>
        <v/>
      </c>
      <c r="O69" s="158">
        <f t="shared" si="32"/>
        <v>0</v>
      </c>
      <c r="P69" s="187"/>
      <c r="Q69" s="187"/>
      <c r="R69" s="187"/>
      <c r="S69" s="187"/>
      <c r="T69" s="187"/>
      <c r="U69" s="187"/>
      <c r="V69" s="188"/>
      <c r="X69" s="177">
        <v>209491.0</v>
      </c>
      <c r="Y69" s="141" t="s">
        <v>330</v>
      </c>
      <c r="Z69" s="141" t="s">
        <v>262</v>
      </c>
      <c r="AA69" s="141">
        <v>988.0</v>
      </c>
      <c r="AB69" s="141">
        <v>25.0</v>
      </c>
      <c r="AC69" s="137"/>
      <c r="AD69" s="144"/>
    </row>
    <row r="70" ht="15.75" customHeight="1">
      <c r="A70" s="195"/>
      <c r="B70" s="206"/>
      <c r="C70" s="207"/>
      <c r="D70" s="206"/>
      <c r="E70" s="65"/>
      <c r="F70" s="65"/>
      <c r="G70" s="65"/>
      <c r="H70" s="65"/>
      <c r="I70" s="65"/>
      <c r="J70" s="65"/>
      <c r="K70" s="65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8"/>
      <c r="X70" s="177">
        <v>209492.0</v>
      </c>
      <c r="Y70" s="141" t="s">
        <v>331</v>
      </c>
      <c r="Z70" s="141" t="s">
        <v>257</v>
      </c>
      <c r="AA70" s="141">
        <v>938.0</v>
      </c>
      <c r="AB70" s="141">
        <v>75.0</v>
      </c>
      <c r="AC70" s="137"/>
      <c r="AD70" s="234"/>
    </row>
    <row r="71" ht="15.75" customHeight="1">
      <c r="A71" s="195"/>
      <c r="B71" s="206"/>
      <c r="C71" s="207"/>
      <c r="D71" s="206"/>
      <c r="E71" s="65"/>
      <c r="F71" s="65"/>
      <c r="G71" s="65"/>
      <c r="H71" s="65"/>
      <c r="I71" s="65"/>
      <c r="J71" s="65"/>
      <c r="K71" s="65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8"/>
      <c r="X71" s="177">
        <v>209493.0</v>
      </c>
      <c r="Y71" s="141" t="s">
        <v>332</v>
      </c>
      <c r="Z71" s="141" t="s">
        <v>257</v>
      </c>
      <c r="AA71" s="141">
        <v>988.0</v>
      </c>
      <c r="AB71" s="141">
        <v>25.0</v>
      </c>
      <c r="AC71" s="137"/>
      <c r="AD71" s="144"/>
    </row>
    <row r="72" ht="15.75" customHeight="1">
      <c r="A72" s="195"/>
      <c r="B72" s="206"/>
      <c r="C72" s="207"/>
      <c r="D72" s="206"/>
      <c r="E72" s="210"/>
      <c r="F72" s="210"/>
      <c r="G72" s="210"/>
      <c r="H72" s="210"/>
      <c r="I72" s="210"/>
      <c r="J72" s="210"/>
      <c r="K72" s="65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8"/>
      <c r="X72" s="177">
        <v>209494.0</v>
      </c>
      <c r="Y72" s="141" t="s">
        <v>333</v>
      </c>
      <c r="Z72" s="141" t="s">
        <v>257</v>
      </c>
      <c r="AA72" s="141">
        <v>988.0</v>
      </c>
      <c r="AB72" s="141">
        <v>25.0</v>
      </c>
      <c r="AC72" s="137"/>
      <c r="AD72" s="144"/>
    </row>
    <row r="73" ht="15.75" customHeight="1">
      <c r="A73" s="195"/>
      <c r="B73" s="206"/>
      <c r="C73" s="207"/>
      <c r="D73" s="206"/>
      <c r="E73" s="207"/>
      <c r="F73" s="207"/>
      <c r="G73" s="207"/>
      <c r="H73" s="207"/>
      <c r="I73" s="207"/>
      <c r="J73" s="207"/>
      <c r="K73" s="65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8"/>
      <c r="X73" s="177">
        <v>209495.0</v>
      </c>
      <c r="Y73" s="141" t="s">
        <v>334</v>
      </c>
      <c r="Z73" s="141" t="s">
        <v>335</v>
      </c>
      <c r="AA73" s="141">
        <v>280.0</v>
      </c>
      <c r="AB73" s="137"/>
      <c r="AC73" s="137"/>
      <c r="AD73" s="144"/>
    </row>
    <row r="74" ht="15.75" customHeight="1">
      <c r="A74" s="195"/>
      <c r="B74" s="206"/>
      <c r="C74" s="207"/>
      <c r="D74" s="206"/>
      <c r="E74" s="207"/>
      <c r="F74" s="207"/>
      <c r="G74" s="207"/>
      <c r="H74" s="207"/>
      <c r="I74" s="207"/>
      <c r="J74" s="207"/>
      <c r="K74" s="65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8"/>
      <c r="X74" s="177">
        <v>209496.0</v>
      </c>
      <c r="Y74" s="141" t="s">
        <v>336</v>
      </c>
      <c r="Z74" s="141" t="s">
        <v>172</v>
      </c>
      <c r="AA74" s="141">
        <v>963.0</v>
      </c>
      <c r="AB74" s="141">
        <v>50.0</v>
      </c>
      <c r="AC74" s="137"/>
      <c r="AD74" s="144"/>
    </row>
    <row r="75" ht="15.75" customHeight="1">
      <c r="A75" s="195"/>
      <c r="B75" s="206"/>
      <c r="C75" s="207"/>
      <c r="D75" s="206"/>
      <c r="E75" s="207"/>
      <c r="F75" s="207"/>
      <c r="G75" s="207"/>
      <c r="H75" s="207"/>
      <c r="I75" s="207"/>
      <c r="J75" s="207"/>
      <c r="K75" s="65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8"/>
      <c r="X75" s="177">
        <v>209497.0</v>
      </c>
      <c r="Y75" s="141" t="s">
        <v>337</v>
      </c>
      <c r="Z75" s="141" t="s">
        <v>172</v>
      </c>
      <c r="AA75" s="141">
        <v>963.0</v>
      </c>
      <c r="AB75" s="141">
        <v>50.0</v>
      </c>
      <c r="AC75" s="137"/>
      <c r="AD75" s="144"/>
    </row>
    <row r="76" ht="15.75" customHeight="1">
      <c r="A76" s="195"/>
      <c r="B76" s="206"/>
      <c r="C76" s="207"/>
      <c r="D76" s="206"/>
      <c r="E76" s="207"/>
      <c r="F76" s="207"/>
      <c r="G76" s="207"/>
      <c r="H76" s="207"/>
      <c r="I76" s="207"/>
      <c r="J76" s="207"/>
      <c r="K76" s="65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8"/>
      <c r="X76" s="177">
        <v>209498.0</v>
      </c>
      <c r="Y76" s="141" t="s">
        <v>338</v>
      </c>
      <c r="Z76" s="141" t="s">
        <v>181</v>
      </c>
      <c r="AA76" s="141">
        <v>963.0</v>
      </c>
      <c r="AB76" s="141">
        <v>50.0</v>
      </c>
      <c r="AC76" s="137"/>
      <c r="AD76" s="144"/>
    </row>
    <row r="77" ht="15.75" customHeight="1">
      <c r="A77" s="195"/>
      <c r="B77" s="206"/>
      <c r="C77" s="207"/>
      <c r="D77" s="206"/>
      <c r="E77" s="207"/>
      <c r="F77" s="207"/>
      <c r="G77" s="207"/>
      <c r="H77" s="207"/>
      <c r="I77" s="207"/>
      <c r="J77" s="207"/>
      <c r="K77" s="65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8"/>
      <c r="X77" s="177">
        <v>209499.0</v>
      </c>
      <c r="Y77" s="141" t="s">
        <v>339</v>
      </c>
      <c r="Z77" s="141" t="s">
        <v>181</v>
      </c>
      <c r="AA77" s="141">
        <v>988.0</v>
      </c>
      <c r="AB77" s="141">
        <v>25.0</v>
      </c>
      <c r="AC77" s="137"/>
      <c r="AD77" s="144"/>
    </row>
    <row r="78" ht="15.75" customHeight="1">
      <c r="A78" s="195"/>
      <c r="B78" s="206"/>
      <c r="C78" s="207"/>
      <c r="D78" s="206"/>
      <c r="E78" s="207"/>
      <c r="F78" s="207"/>
      <c r="G78" s="207"/>
      <c r="H78" s="207"/>
      <c r="I78" s="207"/>
      <c r="J78" s="207"/>
      <c r="K78" s="65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8"/>
      <c r="X78" s="177">
        <v>207905.0</v>
      </c>
      <c r="Y78" s="141" t="s">
        <v>340</v>
      </c>
      <c r="Z78" s="141" t="s">
        <v>155</v>
      </c>
      <c r="AA78" s="137"/>
      <c r="AB78" s="141">
        <v>375.0</v>
      </c>
      <c r="AC78" s="141">
        <v>4690.0</v>
      </c>
      <c r="AD78" s="144"/>
    </row>
    <row r="79" ht="15.75" customHeight="1">
      <c r="A79" s="195"/>
      <c r="B79" s="206"/>
      <c r="C79" s="207"/>
      <c r="D79" s="206"/>
      <c r="E79" s="207"/>
      <c r="F79" s="207"/>
      <c r="G79" s="207"/>
      <c r="H79" s="207"/>
      <c r="I79" s="207"/>
      <c r="J79" s="207"/>
      <c r="K79" s="65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8"/>
      <c r="X79" s="143"/>
      <c r="Y79" s="137"/>
      <c r="Z79" s="141" t="s">
        <v>213</v>
      </c>
      <c r="AA79" s="137"/>
      <c r="AB79" s="141">
        <v>375.0</v>
      </c>
      <c r="AC79" s="141">
        <v>4690.0</v>
      </c>
      <c r="AD79" s="144"/>
    </row>
    <row r="80" ht="15.75" customHeight="1">
      <c r="A80" s="195"/>
      <c r="B80" s="206"/>
      <c r="C80" s="207"/>
      <c r="D80" s="206"/>
      <c r="E80" s="207"/>
      <c r="F80" s="207"/>
      <c r="G80" s="207"/>
      <c r="H80" s="207"/>
      <c r="I80" s="207"/>
      <c r="J80" s="207"/>
      <c r="K80" s="65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8"/>
      <c r="X80" s="177">
        <v>207906.0</v>
      </c>
      <c r="Y80" s="141" t="s">
        <v>341</v>
      </c>
      <c r="Z80" s="141" t="s">
        <v>220</v>
      </c>
      <c r="AA80" s="137"/>
      <c r="AB80" s="141">
        <v>24.0</v>
      </c>
      <c r="AC80" s="141">
        <v>536.0</v>
      </c>
      <c r="AD80" s="144"/>
    </row>
    <row r="81" ht="15.75" customHeight="1">
      <c r="A81" s="195"/>
      <c r="B81" s="59"/>
      <c r="C81" s="207"/>
      <c r="D81" s="206"/>
      <c r="E81" s="207"/>
      <c r="F81" s="207"/>
      <c r="G81" s="207"/>
      <c r="H81" s="207"/>
      <c r="I81" s="207"/>
      <c r="J81" s="207"/>
      <c r="K81" s="65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8"/>
      <c r="X81" s="143"/>
      <c r="Y81" s="137"/>
      <c r="Z81" s="141" t="s">
        <v>186</v>
      </c>
      <c r="AA81" s="137"/>
      <c r="AB81" s="141">
        <v>21.0</v>
      </c>
      <c r="AC81" s="141">
        <v>667.0</v>
      </c>
      <c r="AD81" s="144"/>
    </row>
    <row r="82" ht="15.75" customHeight="1">
      <c r="A82" s="195"/>
      <c r="B82" s="59"/>
      <c r="C82" s="207"/>
      <c r="D82" s="206"/>
      <c r="E82" s="207"/>
      <c r="F82" s="207"/>
      <c r="G82" s="207"/>
      <c r="H82" s="207"/>
      <c r="I82" s="207"/>
      <c r="J82" s="207"/>
      <c r="K82" s="65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8"/>
      <c r="X82" s="143"/>
      <c r="Y82" s="137"/>
      <c r="Z82" s="141" t="s">
        <v>155</v>
      </c>
      <c r="AA82" s="137"/>
      <c r="AB82" s="141">
        <v>375.0</v>
      </c>
      <c r="AC82" s="141">
        <v>4690.0</v>
      </c>
      <c r="AD82" s="144"/>
    </row>
    <row r="83" ht="15.75" customHeight="1">
      <c r="A83" s="195"/>
      <c r="B83" s="59"/>
      <c r="C83" s="207"/>
      <c r="D83" s="206"/>
      <c r="E83" s="207"/>
      <c r="F83" s="207"/>
      <c r="G83" s="207"/>
      <c r="H83" s="207"/>
      <c r="I83" s="207"/>
      <c r="J83" s="207"/>
      <c r="K83" s="65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8"/>
      <c r="X83" s="143"/>
      <c r="Y83" s="137"/>
      <c r="Z83" s="141" t="s">
        <v>213</v>
      </c>
      <c r="AA83" s="137"/>
      <c r="AB83" s="141">
        <v>375.0</v>
      </c>
      <c r="AC83" s="141">
        <v>4690.0</v>
      </c>
      <c r="AD83" s="144"/>
    </row>
    <row r="84" ht="15.75" customHeight="1">
      <c r="A84" s="195"/>
      <c r="B84" s="59"/>
      <c r="C84" s="207"/>
      <c r="D84" s="206"/>
      <c r="E84" s="207"/>
      <c r="F84" s="207"/>
      <c r="G84" s="207"/>
      <c r="H84" s="207"/>
      <c r="I84" s="207"/>
      <c r="J84" s="207"/>
      <c r="K84" s="65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8"/>
      <c r="X84" s="177">
        <v>207909.0</v>
      </c>
      <c r="Y84" s="141" t="s">
        <v>342</v>
      </c>
      <c r="Z84" s="141" t="s">
        <v>172</v>
      </c>
      <c r="AA84" s="141">
        <v>938.0</v>
      </c>
      <c r="AB84" s="141">
        <v>75.0</v>
      </c>
      <c r="AC84" s="137"/>
      <c r="AD84" s="144"/>
    </row>
    <row r="85" ht="15.75" customHeight="1">
      <c r="A85" s="195"/>
      <c r="B85" s="59"/>
      <c r="C85" s="207"/>
      <c r="D85" s="59"/>
      <c r="E85" s="207"/>
      <c r="F85" s="207"/>
      <c r="G85" s="207"/>
      <c r="H85" s="207"/>
      <c r="I85" s="207"/>
      <c r="J85" s="207"/>
      <c r="K85" s="65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8"/>
      <c r="X85" s="143"/>
      <c r="Y85" s="137"/>
      <c r="Z85" s="141" t="s">
        <v>153</v>
      </c>
      <c r="AA85" s="141">
        <v>4059.0</v>
      </c>
      <c r="AB85" s="141">
        <v>400.0</v>
      </c>
      <c r="AC85" s="137"/>
      <c r="AD85" s="144"/>
    </row>
    <row r="86" ht="15.75" customHeight="1">
      <c r="A86" s="195"/>
      <c r="B86" s="59"/>
      <c r="C86" s="207"/>
      <c r="D86" s="59"/>
      <c r="E86" s="207"/>
      <c r="F86" s="207"/>
      <c r="G86" s="207"/>
      <c r="H86" s="207"/>
      <c r="I86" s="207"/>
      <c r="J86" s="207"/>
      <c r="K86" s="65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8"/>
      <c r="X86" s="177">
        <v>207910.0</v>
      </c>
      <c r="Y86" s="141" t="s">
        <v>342</v>
      </c>
      <c r="Z86" s="141" t="s">
        <v>172</v>
      </c>
      <c r="AA86" s="141">
        <v>938.0</v>
      </c>
      <c r="AB86" s="141">
        <v>75.0</v>
      </c>
      <c r="AC86" s="137"/>
      <c r="AD86" s="144"/>
    </row>
    <row r="87" ht="15.75" customHeight="1">
      <c r="A87" s="195"/>
      <c r="B87" s="59"/>
      <c r="C87" s="207"/>
      <c r="D87" s="59"/>
      <c r="E87" s="207"/>
      <c r="F87" s="207"/>
      <c r="G87" s="207"/>
      <c r="H87" s="207"/>
      <c r="I87" s="207"/>
      <c r="J87" s="207"/>
      <c r="K87" s="65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8"/>
      <c r="X87" s="177">
        <v>207911.0</v>
      </c>
      <c r="Y87" s="141" t="s">
        <v>343</v>
      </c>
      <c r="Z87" s="141" t="s">
        <v>262</v>
      </c>
      <c r="AA87" s="141">
        <v>963.0</v>
      </c>
      <c r="AB87" s="141">
        <v>50.0</v>
      </c>
      <c r="AC87" s="137"/>
      <c r="AD87" s="144"/>
    </row>
    <row r="88" ht="15.75" customHeight="1">
      <c r="A88" s="195"/>
      <c r="B88" s="59"/>
      <c r="C88" s="207"/>
      <c r="D88" s="59"/>
      <c r="E88" s="207"/>
      <c r="F88" s="207"/>
      <c r="G88" s="207"/>
      <c r="H88" s="207"/>
      <c r="I88" s="207"/>
      <c r="J88" s="207"/>
      <c r="K88" s="65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8"/>
      <c r="X88" s="177">
        <v>207912.0</v>
      </c>
      <c r="Y88" s="141" t="s">
        <v>344</v>
      </c>
      <c r="Z88" s="141" t="s">
        <v>262</v>
      </c>
      <c r="AA88" s="141">
        <v>963.0</v>
      </c>
      <c r="AB88" s="141">
        <v>50.0</v>
      </c>
      <c r="AC88" s="137"/>
      <c r="AD88" s="144"/>
    </row>
    <row r="89" ht="15.75" customHeight="1">
      <c r="A89" s="195"/>
      <c r="B89" s="59"/>
      <c r="C89" s="207"/>
      <c r="D89" s="59"/>
      <c r="E89" s="207"/>
      <c r="F89" s="207"/>
      <c r="G89" s="207"/>
      <c r="H89" s="207"/>
      <c r="I89" s="207"/>
      <c r="J89" s="207"/>
      <c r="K89" s="65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8"/>
      <c r="X89" s="177">
        <v>207913.0</v>
      </c>
      <c r="Y89" s="141" t="s">
        <v>345</v>
      </c>
      <c r="Z89" s="141" t="s">
        <v>262</v>
      </c>
      <c r="AA89" s="141">
        <v>963.0</v>
      </c>
      <c r="AB89" s="141">
        <v>50.0</v>
      </c>
      <c r="AC89" s="137"/>
      <c r="AD89" s="144"/>
    </row>
    <row r="90" ht="15.75" customHeight="1">
      <c r="A90" s="195"/>
      <c r="B90" s="59"/>
      <c r="C90" s="207"/>
      <c r="D90" s="59"/>
      <c r="E90" s="207"/>
      <c r="F90" s="207"/>
      <c r="G90" s="207"/>
      <c r="H90" s="207"/>
      <c r="I90" s="207"/>
      <c r="J90" s="207"/>
      <c r="K90" s="65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8"/>
      <c r="X90" s="177">
        <v>207914.0</v>
      </c>
      <c r="Y90" s="141" t="s">
        <v>346</v>
      </c>
      <c r="Z90" s="141" t="s">
        <v>262</v>
      </c>
      <c r="AA90" s="141">
        <v>963.0</v>
      </c>
      <c r="AB90" s="141">
        <v>50.0</v>
      </c>
      <c r="AC90" s="137"/>
      <c r="AD90" s="144"/>
    </row>
    <row r="91" ht="15.75" customHeight="1">
      <c r="A91" s="195"/>
      <c r="B91" s="59"/>
      <c r="C91" s="207"/>
      <c r="D91" s="59"/>
      <c r="E91" s="207"/>
      <c r="F91" s="207"/>
      <c r="G91" s="207"/>
      <c r="H91" s="207"/>
      <c r="I91" s="207"/>
      <c r="J91" s="207"/>
      <c r="K91" s="65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8"/>
      <c r="X91" s="177">
        <v>207915.0</v>
      </c>
      <c r="Y91" s="141" t="s">
        <v>347</v>
      </c>
      <c r="Z91" s="141" t="s">
        <v>262</v>
      </c>
      <c r="AA91" s="141">
        <v>963.0</v>
      </c>
      <c r="AB91" s="141">
        <v>50.0</v>
      </c>
      <c r="AC91" s="137"/>
      <c r="AD91" s="144"/>
    </row>
    <row r="92" ht="15.75" customHeight="1">
      <c r="A92" s="195"/>
      <c r="B92" s="59"/>
      <c r="C92" s="207"/>
      <c r="D92" s="59"/>
      <c r="E92" s="207"/>
      <c r="F92" s="207"/>
      <c r="G92" s="207"/>
      <c r="H92" s="207"/>
      <c r="I92" s="207"/>
      <c r="J92" s="207"/>
      <c r="K92" s="65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8"/>
      <c r="X92" s="177">
        <v>209472.0</v>
      </c>
      <c r="Y92" s="141" t="s">
        <v>348</v>
      </c>
      <c r="Z92" s="141" t="s">
        <v>262</v>
      </c>
      <c r="AA92" s="141">
        <v>938.0</v>
      </c>
      <c r="AB92" s="141">
        <v>75.0</v>
      </c>
      <c r="AC92" s="137"/>
      <c r="AD92" s="144"/>
    </row>
    <row r="93" ht="15.75" customHeight="1">
      <c r="A93" s="195"/>
      <c r="B93" s="59"/>
      <c r="C93" s="207"/>
      <c r="D93" s="59"/>
      <c r="E93" s="65"/>
      <c r="F93" s="65"/>
      <c r="G93" s="65"/>
      <c r="H93" s="65"/>
      <c r="I93" s="65"/>
      <c r="J93" s="65"/>
      <c r="K93" s="65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8"/>
      <c r="X93" s="177">
        <v>209473.0</v>
      </c>
      <c r="Y93" s="141" t="s">
        <v>349</v>
      </c>
      <c r="Z93" s="141" t="s">
        <v>257</v>
      </c>
      <c r="AA93" s="141">
        <v>963.0</v>
      </c>
      <c r="AB93" s="141">
        <v>50.0</v>
      </c>
      <c r="AC93" s="137"/>
      <c r="AD93" s="144"/>
    </row>
    <row r="94" ht="15.75" customHeight="1">
      <c r="A94" s="195"/>
      <c r="B94" s="59"/>
      <c r="C94" s="207"/>
      <c r="D94" s="59"/>
      <c r="E94" s="65"/>
      <c r="F94" s="65"/>
      <c r="G94" s="65"/>
      <c r="H94" s="65"/>
      <c r="I94" s="65"/>
      <c r="J94" s="65"/>
      <c r="K94" s="65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8"/>
      <c r="X94" s="177"/>
      <c r="Y94" s="141"/>
      <c r="Z94" s="141"/>
      <c r="AA94" s="137"/>
      <c r="AB94" s="141"/>
      <c r="AC94" s="141"/>
      <c r="AD94" s="144"/>
    </row>
    <row r="95" ht="15.75" customHeight="1">
      <c r="A95" s="195"/>
      <c r="B95" s="59"/>
      <c r="C95" s="65"/>
      <c r="D95" s="59"/>
      <c r="E95" s="65"/>
      <c r="F95" s="65"/>
      <c r="G95" s="65"/>
      <c r="H95" s="65"/>
      <c r="I95" s="65"/>
      <c r="J95" s="65"/>
      <c r="K95" s="65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8"/>
      <c r="X95" s="143"/>
      <c r="Y95" s="137"/>
      <c r="Z95" s="141"/>
      <c r="AA95" s="137"/>
      <c r="AB95" s="141"/>
      <c r="AC95" s="141"/>
      <c r="AD95" s="144"/>
    </row>
    <row r="96" ht="15.75" customHeight="1">
      <c r="A96" s="195"/>
      <c r="B96" s="59"/>
      <c r="C96" s="59"/>
      <c r="D96" s="59"/>
      <c r="E96" s="65"/>
      <c r="F96" s="65"/>
      <c r="G96" s="65"/>
      <c r="H96" s="65"/>
      <c r="I96" s="65"/>
      <c r="J96" s="65"/>
      <c r="K96" s="65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8"/>
      <c r="X96" s="143"/>
      <c r="Y96" s="137"/>
      <c r="Z96" s="141"/>
      <c r="AA96" s="137"/>
      <c r="AB96" s="141"/>
      <c r="AC96" s="141"/>
      <c r="AD96" s="144"/>
    </row>
    <row r="97" ht="15.75" customHeight="1">
      <c r="B97" s="211"/>
      <c r="D97" s="211"/>
      <c r="E97" s="65"/>
      <c r="F97" s="65"/>
      <c r="G97" s="65"/>
      <c r="H97" s="65"/>
      <c r="I97" s="65"/>
      <c r="J97" s="65"/>
      <c r="K97" s="65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8"/>
      <c r="X97" s="143"/>
      <c r="Y97" s="137"/>
      <c r="Z97" s="141"/>
      <c r="AA97" s="137"/>
      <c r="AB97" s="141"/>
      <c r="AC97" s="141"/>
      <c r="AD97" s="144"/>
    </row>
    <row r="98" ht="15.75" customHeight="1">
      <c r="B98" s="211"/>
      <c r="D98" s="211"/>
      <c r="E98" s="65"/>
      <c r="F98" s="65"/>
      <c r="G98" s="65"/>
      <c r="H98" s="65"/>
      <c r="I98" s="65"/>
      <c r="J98" s="65"/>
      <c r="K98" s="65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8"/>
      <c r="X98" s="177"/>
      <c r="Y98" s="141"/>
      <c r="Z98" s="141"/>
      <c r="AA98" s="137"/>
      <c r="AB98" s="141"/>
      <c r="AC98" s="141"/>
      <c r="AD98" s="144"/>
    </row>
    <row r="99" ht="15.75" customHeight="1">
      <c r="B99" s="211"/>
      <c r="D99" s="211"/>
      <c r="E99" s="65"/>
      <c r="F99" s="65"/>
      <c r="G99" s="65"/>
      <c r="H99" s="65"/>
      <c r="I99" s="65"/>
      <c r="J99" s="65"/>
      <c r="K99" s="65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8"/>
      <c r="X99" s="143"/>
      <c r="Y99" s="137"/>
      <c r="Z99" s="141"/>
      <c r="AA99" s="137"/>
      <c r="AB99" s="141"/>
      <c r="AC99" s="141"/>
      <c r="AD99" s="144"/>
    </row>
    <row r="100" ht="15.75" customHeight="1">
      <c r="B100" s="211"/>
      <c r="D100" s="211"/>
      <c r="E100" s="65"/>
      <c r="F100" s="65"/>
      <c r="G100" s="65"/>
      <c r="H100" s="65"/>
      <c r="I100" s="65"/>
      <c r="J100" s="65"/>
      <c r="K100" s="65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8"/>
      <c r="X100" s="143"/>
      <c r="Y100" s="137"/>
      <c r="Z100" s="141"/>
      <c r="AA100" s="137"/>
      <c r="AB100" s="141"/>
      <c r="AC100" s="141"/>
      <c r="AD100" s="144"/>
    </row>
    <row r="101" ht="15.75" customHeight="1">
      <c r="B101" s="211"/>
      <c r="D101" s="211"/>
      <c r="E101" s="65"/>
      <c r="F101" s="65"/>
      <c r="G101" s="65"/>
      <c r="H101" s="65"/>
      <c r="I101" s="65"/>
      <c r="J101" s="65"/>
      <c r="K101" s="65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8"/>
      <c r="X101" s="177"/>
      <c r="Y101" s="141"/>
      <c r="Z101" s="141"/>
      <c r="AA101" s="141"/>
      <c r="AB101" s="141"/>
      <c r="AC101" s="137"/>
      <c r="AD101" s="144"/>
    </row>
    <row r="102" ht="15.75" customHeight="1">
      <c r="B102" s="211"/>
      <c r="D102" s="211"/>
      <c r="E102" s="65"/>
      <c r="F102" s="65"/>
      <c r="G102" s="65"/>
      <c r="H102" s="65"/>
      <c r="I102" s="65"/>
      <c r="J102" s="65"/>
      <c r="K102" s="65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8"/>
      <c r="X102" s="143"/>
      <c r="Y102" s="137"/>
      <c r="Z102" s="141"/>
      <c r="AA102" s="141"/>
      <c r="AB102" s="141"/>
      <c r="AC102" s="137"/>
      <c r="AD102" s="144"/>
    </row>
    <row r="103" ht="15.75" customHeight="1">
      <c r="B103" s="211"/>
      <c r="D103" s="211"/>
      <c r="E103" s="65"/>
      <c r="F103" s="65"/>
      <c r="G103" s="65"/>
      <c r="H103" s="65"/>
      <c r="I103" s="65"/>
      <c r="J103" s="65"/>
      <c r="K103" s="65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8"/>
      <c r="X103" s="143"/>
      <c r="Y103" s="137"/>
      <c r="Z103" s="137"/>
      <c r="AA103" s="137"/>
      <c r="AB103" s="137"/>
      <c r="AC103" s="137"/>
      <c r="AD103" s="144"/>
    </row>
    <row r="104" ht="15.75" customHeight="1">
      <c r="B104" s="211"/>
      <c r="D104" s="211"/>
      <c r="E104" s="65"/>
      <c r="F104" s="65"/>
      <c r="G104" s="65"/>
      <c r="H104" s="65"/>
      <c r="I104" s="65"/>
      <c r="J104" s="65"/>
      <c r="K104" s="65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8"/>
      <c r="X104" s="225"/>
      <c r="Y104" s="156"/>
      <c r="Z104" s="156"/>
      <c r="AA104" s="156"/>
      <c r="AB104" s="156"/>
      <c r="AC104" s="156"/>
      <c r="AD104" s="226"/>
    </row>
    <row r="105" ht="15.75" customHeight="1">
      <c r="B105" s="211"/>
      <c r="D105" s="211"/>
      <c r="E105" s="65"/>
      <c r="F105" s="65"/>
      <c r="G105" s="65"/>
      <c r="H105" s="65"/>
      <c r="I105" s="65"/>
      <c r="J105" s="65"/>
      <c r="K105" s="65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8"/>
      <c r="X105" s="227" t="s">
        <v>236</v>
      </c>
      <c r="Y105" s="228"/>
      <c r="Z105" s="229"/>
      <c r="AA105" s="230">
        <f t="shared" ref="AA105:AD105" si="33">SUM(AA3:AA104)</f>
        <v>74771</v>
      </c>
      <c r="AB105" s="230">
        <f t="shared" si="33"/>
        <v>13960</v>
      </c>
      <c r="AC105" s="230">
        <f t="shared" si="33"/>
        <v>135322</v>
      </c>
      <c r="AD105" s="230">
        <f t="shared" si="33"/>
        <v>0</v>
      </c>
    </row>
    <row r="106" ht="15.75" customHeight="1">
      <c r="A106" s="65"/>
      <c r="B106" s="59"/>
      <c r="C106" s="217"/>
      <c r="D106" s="59"/>
      <c r="E106" s="65"/>
      <c r="F106" s="65"/>
      <c r="G106" s="65"/>
      <c r="H106" s="65"/>
      <c r="I106" s="65"/>
      <c r="J106" s="65"/>
      <c r="K106" s="65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8"/>
    </row>
    <row r="107" ht="15.75" customHeight="1">
      <c r="A107" s="65"/>
      <c r="B107" s="59"/>
      <c r="C107" s="217"/>
      <c r="D107" s="59"/>
      <c r="E107" s="65"/>
      <c r="F107" s="65"/>
      <c r="G107" s="65"/>
      <c r="H107" s="65"/>
      <c r="I107" s="65"/>
      <c r="J107" s="65"/>
      <c r="K107" s="65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8"/>
    </row>
    <row r="108" ht="15.75" customHeight="1">
      <c r="A108" s="65"/>
      <c r="B108" s="59"/>
      <c r="C108" s="217"/>
      <c r="D108" s="59"/>
      <c r="E108" s="65"/>
      <c r="F108" s="65"/>
      <c r="G108" s="65"/>
      <c r="H108" s="65"/>
      <c r="I108" s="65"/>
      <c r="J108" s="65"/>
      <c r="K108" s="65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8"/>
    </row>
    <row r="109" ht="15.75" customHeight="1">
      <c r="A109" s="65"/>
      <c r="B109" s="59"/>
      <c r="C109" s="218"/>
      <c r="D109" s="59"/>
      <c r="E109" s="65"/>
      <c r="F109" s="65"/>
      <c r="G109" s="65"/>
      <c r="H109" s="65"/>
      <c r="I109" s="65"/>
      <c r="J109" s="65"/>
      <c r="K109" s="65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8"/>
    </row>
    <row r="110" ht="15.75" customHeight="1">
      <c r="A110" s="65"/>
      <c r="B110" s="59"/>
      <c r="C110" s="219"/>
      <c r="D110" s="59"/>
      <c r="E110" s="65"/>
      <c r="F110" s="65"/>
      <c r="G110" s="65"/>
      <c r="H110" s="65"/>
      <c r="I110" s="65"/>
      <c r="J110" s="65"/>
      <c r="K110" s="65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8"/>
    </row>
    <row r="111" ht="15.75" customHeight="1">
      <c r="A111" s="65"/>
      <c r="B111" s="59"/>
      <c r="C111" s="218"/>
      <c r="D111" s="59"/>
      <c r="E111" s="65"/>
      <c r="F111" s="65"/>
      <c r="G111" s="65"/>
      <c r="H111" s="65"/>
      <c r="I111" s="65"/>
      <c r="J111" s="65"/>
      <c r="K111" s="65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8"/>
    </row>
    <row r="112" ht="15.75" customHeight="1">
      <c r="A112" s="65"/>
      <c r="B112" s="59"/>
      <c r="C112" s="220"/>
      <c r="D112" s="59"/>
      <c r="E112" s="65"/>
      <c r="F112" s="65"/>
      <c r="G112" s="65"/>
      <c r="H112" s="65"/>
      <c r="I112" s="65"/>
      <c r="J112" s="65"/>
      <c r="K112" s="65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8"/>
    </row>
    <row r="113" ht="15.75" customHeight="1">
      <c r="A113" s="65"/>
      <c r="B113" s="59"/>
      <c r="C113" s="65"/>
      <c r="D113" s="59"/>
      <c r="E113" s="65"/>
      <c r="F113" s="65"/>
      <c r="G113" s="65"/>
      <c r="H113" s="65"/>
      <c r="I113" s="65"/>
      <c r="J113" s="65"/>
      <c r="K113" s="65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8"/>
    </row>
    <row r="114" ht="15.75" customHeight="1">
      <c r="A114" s="65"/>
      <c r="B114" s="59"/>
      <c r="C114" s="207"/>
      <c r="D114" s="59"/>
      <c r="E114" s="65"/>
      <c r="F114" s="65"/>
      <c r="G114" s="65"/>
      <c r="H114" s="65"/>
      <c r="I114" s="65"/>
      <c r="J114" s="65"/>
      <c r="K114" s="65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8"/>
    </row>
    <row r="115" ht="15.75" customHeight="1">
      <c r="A115" s="65"/>
      <c r="B115" s="59"/>
      <c r="C115" s="207"/>
      <c r="D115" s="59"/>
      <c r="E115" s="65"/>
      <c r="F115" s="65"/>
      <c r="G115" s="65"/>
      <c r="H115" s="65"/>
      <c r="I115" s="65"/>
      <c r="J115" s="65"/>
      <c r="K115" s="65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8"/>
    </row>
    <row r="116" ht="15.75" customHeight="1">
      <c r="A116" s="65"/>
      <c r="B116" s="59"/>
      <c r="C116" s="207"/>
      <c r="D116" s="59"/>
      <c r="E116" s="65"/>
      <c r="F116" s="65"/>
      <c r="G116" s="65"/>
      <c r="H116" s="65"/>
      <c r="I116" s="65"/>
      <c r="J116" s="65"/>
      <c r="K116" s="65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8"/>
    </row>
    <row r="117" ht="15.75" customHeight="1">
      <c r="A117" s="65"/>
      <c r="B117" s="59"/>
      <c r="C117" s="207"/>
      <c r="D117" s="59"/>
      <c r="E117" s="65"/>
      <c r="F117" s="65"/>
      <c r="G117" s="65"/>
      <c r="H117" s="65"/>
      <c r="I117" s="65"/>
      <c r="J117" s="65"/>
      <c r="K117" s="65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8"/>
    </row>
    <row r="118" ht="15.75" customHeight="1">
      <c r="A118" s="65"/>
      <c r="B118" s="59"/>
      <c r="C118" s="207"/>
      <c r="D118" s="59"/>
      <c r="E118" s="65"/>
      <c r="F118" s="65"/>
      <c r="G118" s="65"/>
      <c r="H118" s="65"/>
      <c r="I118" s="65"/>
      <c r="J118" s="65"/>
      <c r="K118" s="65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8"/>
    </row>
    <row r="119" ht="15.75" customHeight="1">
      <c r="A119" s="65"/>
      <c r="B119" s="59"/>
      <c r="C119" s="207"/>
      <c r="D119" s="59"/>
      <c r="E119" s="65"/>
      <c r="F119" s="65"/>
      <c r="G119" s="65"/>
      <c r="H119" s="65"/>
      <c r="I119" s="65"/>
      <c r="J119" s="65"/>
      <c r="K119" s="65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8"/>
    </row>
    <row r="120" ht="15.75" customHeight="1">
      <c r="A120" s="65"/>
      <c r="B120" s="59"/>
      <c r="C120" s="207"/>
      <c r="D120" s="59"/>
      <c r="E120" s="65"/>
      <c r="F120" s="65"/>
      <c r="G120" s="65"/>
      <c r="H120" s="65"/>
      <c r="I120" s="65"/>
      <c r="J120" s="65"/>
      <c r="K120" s="65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8"/>
    </row>
    <row r="121" ht="15.75" customHeight="1">
      <c r="A121" s="65"/>
      <c r="B121" s="59"/>
      <c r="C121" s="207"/>
      <c r="D121" s="59"/>
      <c r="E121" s="65"/>
      <c r="F121" s="65"/>
      <c r="G121" s="65"/>
      <c r="H121" s="65"/>
      <c r="I121" s="65"/>
      <c r="J121" s="65"/>
      <c r="K121" s="65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8"/>
    </row>
    <row r="122" ht="15.75" customHeight="1">
      <c r="A122" s="65"/>
      <c r="B122" s="59"/>
      <c r="C122" s="207"/>
      <c r="D122" s="59"/>
      <c r="E122" s="65"/>
      <c r="F122" s="65"/>
      <c r="G122" s="65"/>
      <c r="H122" s="65"/>
      <c r="I122" s="65"/>
      <c r="J122" s="65"/>
      <c r="K122" s="65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8"/>
    </row>
    <row r="123" ht="15.75" customHeight="1">
      <c r="A123" s="65"/>
      <c r="B123" s="59"/>
      <c r="C123" s="207"/>
      <c r="D123" s="59"/>
      <c r="E123" s="65"/>
      <c r="F123" s="65"/>
      <c r="G123" s="65"/>
      <c r="H123" s="65"/>
      <c r="I123" s="65"/>
      <c r="J123" s="65"/>
      <c r="K123" s="65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8"/>
    </row>
    <row r="124" ht="15.75" customHeight="1">
      <c r="A124" s="65"/>
      <c r="B124" s="59"/>
      <c r="C124" s="207"/>
      <c r="D124" s="59"/>
      <c r="E124" s="65"/>
      <c r="F124" s="65"/>
      <c r="G124" s="65"/>
      <c r="H124" s="65"/>
      <c r="I124" s="65"/>
      <c r="J124" s="65"/>
      <c r="K124" s="65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8"/>
    </row>
    <row r="125" ht="15.75" customHeight="1">
      <c r="A125" s="65"/>
      <c r="B125" s="59"/>
      <c r="C125" s="207"/>
      <c r="D125" s="59"/>
      <c r="E125" s="65"/>
      <c r="F125" s="65"/>
      <c r="G125" s="65"/>
      <c r="H125" s="65"/>
      <c r="I125" s="65"/>
      <c r="J125" s="65"/>
      <c r="K125" s="65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8"/>
    </row>
    <row r="126" ht="15.75" customHeight="1">
      <c r="A126" s="65"/>
      <c r="B126" s="59"/>
      <c r="C126" s="207"/>
      <c r="D126" s="59"/>
      <c r="E126" s="65"/>
      <c r="F126" s="65"/>
      <c r="G126" s="65"/>
      <c r="H126" s="65"/>
      <c r="I126" s="65"/>
      <c r="J126" s="65"/>
      <c r="K126" s="65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8"/>
    </row>
    <row r="127" ht="15.75" customHeight="1">
      <c r="A127" s="65"/>
      <c r="B127" s="59"/>
      <c r="C127" s="207"/>
      <c r="D127" s="59"/>
      <c r="E127" s="65"/>
      <c r="F127" s="65"/>
      <c r="G127" s="65"/>
      <c r="H127" s="65"/>
      <c r="I127" s="65"/>
      <c r="J127" s="65"/>
      <c r="K127" s="65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8"/>
    </row>
    <row r="128" ht="15.75" customHeight="1">
      <c r="A128" s="65"/>
      <c r="B128" s="59"/>
      <c r="C128" s="207"/>
      <c r="D128" s="59"/>
      <c r="E128" s="65"/>
      <c r="F128" s="65"/>
      <c r="G128" s="65"/>
      <c r="H128" s="65"/>
      <c r="I128" s="65"/>
      <c r="J128" s="65"/>
      <c r="K128" s="65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8"/>
    </row>
    <row r="129" ht="15.75" customHeight="1">
      <c r="A129" s="65"/>
      <c r="B129" s="59"/>
      <c r="C129" s="207"/>
      <c r="D129" s="59"/>
      <c r="E129" s="65"/>
      <c r="F129" s="65"/>
      <c r="G129" s="65"/>
      <c r="H129" s="65"/>
      <c r="I129" s="65"/>
      <c r="J129" s="65"/>
      <c r="K129" s="65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8"/>
    </row>
    <row r="130" ht="15.75" customHeight="1">
      <c r="A130" s="65"/>
      <c r="B130" s="59"/>
      <c r="C130" s="207"/>
      <c r="D130" s="59"/>
      <c r="E130" s="65"/>
      <c r="F130" s="65"/>
      <c r="G130" s="65"/>
      <c r="H130" s="65"/>
      <c r="I130" s="65"/>
      <c r="J130" s="65"/>
      <c r="K130" s="65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8"/>
    </row>
    <row r="131" ht="15.75" customHeight="1">
      <c r="A131" s="65"/>
      <c r="B131" s="59"/>
      <c r="C131" s="207"/>
      <c r="D131" s="59"/>
      <c r="E131" s="65"/>
      <c r="F131" s="65"/>
      <c r="G131" s="65"/>
      <c r="H131" s="65"/>
      <c r="I131" s="65"/>
      <c r="J131" s="65"/>
      <c r="K131" s="65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8"/>
    </row>
    <row r="132" ht="15.75" customHeight="1">
      <c r="A132" s="65"/>
      <c r="B132" s="59"/>
      <c r="C132" s="207"/>
      <c r="D132" s="59"/>
      <c r="E132" s="65"/>
      <c r="F132" s="65"/>
      <c r="G132" s="65"/>
      <c r="H132" s="65"/>
      <c r="I132" s="65"/>
      <c r="J132" s="65"/>
      <c r="K132" s="65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8"/>
    </row>
    <row r="133" ht="15.75" customHeight="1">
      <c r="A133" s="65"/>
      <c r="B133" s="59"/>
      <c r="C133" s="207"/>
      <c r="D133" s="59"/>
      <c r="E133" s="65"/>
      <c r="F133" s="65"/>
      <c r="G133" s="65"/>
      <c r="H133" s="65"/>
      <c r="I133" s="65"/>
      <c r="J133" s="65"/>
      <c r="K133" s="65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8"/>
    </row>
    <row r="134" ht="15.75" customHeight="1">
      <c r="A134" s="65"/>
      <c r="B134" s="59"/>
      <c r="C134" s="207"/>
      <c r="D134" s="59"/>
      <c r="E134" s="65"/>
      <c r="F134" s="65"/>
      <c r="G134" s="65"/>
      <c r="H134" s="65"/>
      <c r="I134" s="65"/>
      <c r="J134" s="65"/>
      <c r="K134" s="65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8"/>
    </row>
    <row r="135" ht="15.75" customHeight="1">
      <c r="A135" s="65"/>
      <c r="B135" s="59"/>
      <c r="C135" s="207"/>
      <c r="D135" s="59"/>
      <c r="E135" s="65"/>
      <c r="F135" s="65"/>
      <c r="G135" s="65"/>
      <c r="H135" s="65"/>
      <c r="I135" s="65"/>
      <c r="J135" s="65"/>
      <c r="K135" s="65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8"/>
    </row>
    <row r="136" ht="15.75" customHeight="1">
      <c r="A136" s="65"/>
      <c r="B136" s="59"/>
      <c r="C136" s="207"/>
      <c r="D136" s="59"/>
      <c r="E136" s="65"/>
      <c r="F136" s="65"/>
      <c r="G136" s="65"/>
      <c r="H136" s="65"/>
      <c r="I136" s="65"/>
      <c r="J136" s="65"/>
      <c r="K136" s="65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8"/>
    </row>
    <row r="137" ht="15.75" customHeight="1">
      <c r="A137" s="65"/>
      <c r="B137" s="59"/>
      <c r="C137" s="207"/>
      <c r="D137" s="59"/>
      <c r="E137" s="65"/>
      <c r="F137" s="65"/>
      <c r="G137" s="65"/>
      <c r="H137" s="65"/>
      <c r="I137" s="65"/>
      <c r="J137" s="65"/>
      <c r="K137" s="65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8"/>
    </row>
    <row r="138" ht="15.75" customHeight="1">
      <c r="A138" s="65"/>
      <c r="B138" s="59"/>
      <c r="C138" s="207"/>
      <c r="D138" s="59"/>
      <c r="E138" s="65"/>
      <c r="F138" s="65"/>
      <c r="G138" s="65"/>
      <c r="H138" s="65"/>
      <c r="I138" s="65"/>
      <c r="J138" s="65"/>
      <c r="K138" s="65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8"/>
    </row>
    <row r="139" ht="15.75" customHeight="1">
      <c r="A139" s="65"/>
      <c r="B139" s="59"/>
      <c r="C139" s="207"/>
      <c r="D139" s="59"/>
      <c r="E139" s="65"/>
      <c r="F139" s="65"/>
      <c r="G139" s="65"/>
      <c r="H139" s="65"/>
      <c r="I139" s="65"/>
      <c r="J139" s="65"/>
      <c r="K139" s="65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8"/>
    </row>
    <row r="140" ht="15.75" customHeight="1">
      <c r="A140" s="65"/>
      <c r="B140" s="59"/>
      <c r="C140" s="207"/>
      <c r="D140" s="59"/>
      <c r="E140" s="65"/>
      <c r="F140" s="65"/>
      <c r="G140" s="65"/>
      <c r="H140" s="65"/>
      <c r="I140" s="65"/>
      <c r="J140" s="65"/>
      <c r="K140" s="65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8"/>
    </row>
    <row r="141" ht="15.75" customHeight="1">
      <c r="A141" s="65"/>
      <c r="B141" s="59"/>
      <c r="C141" s="207"/>
      <c r="D141" s="59"/>
      <c r="E141" s="65"/>
      <c r="F141" s="65"/>
      <c r="G141" s="65"/>
      <c r="H141" s="65"/>
      <c r="I141" s="65"/>
      <c r="J141" s="65"/>
      <c r="K141" s="65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8"/>
    </row>
    <row r="142" ht="15.75" customHeight="1">
      <c r="A142" s="65"/>
      <c r="B142" s="59"/>
      <c r="C142" s="207"/>
      <c r="D142" s="59"/>
      <c r="E142" s="65"/>
      <c r="F142" s="65"/>
      <c r="G142" s="65"/>
      <c r="H142" s="65"/>
      <c r="I142" s="65"/>
      <c r="J142" s="65"/>
      <c r="K142" s="65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8"/>
    </row>
    <row r="143" ht="15.75" customHeight="1">
      <c r="A143" s="65"/>
      <c r="B143" s="59"/>
      <c r="C143" s="207"/>
      <c r="D143" s="59"/>
      <c r="E143" s="65"/>
      <c r="F143" s="65"/>
      <c r="G143" s="65"/>
      <c r="H143" s="65"/>
      <c r="I143" s="65"/>
      <c r="J143" s="65"/>
      <c r="K143" s="65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8"/>
    </row>
    <row r="144" ht="15.75" customHeight="1">
      <c r="A144" s="65"/>
      <c r="B144" s="59"/>
      <c r="C144" s="207"/>
      <c r="D144" s="59"/>
      <c r="E144" s="65"/>
      <c r="F144" s="65"/>
      <c r="G144" s="65"/>
      <c r="H144" s="65"/>
      <c r="I144" s="65"/>
      <c r="J144" s="65"/>
      <c r="K144" s="65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8"/>
    </row>
    <row r="145" ht="15.75" customHeight="1">
      <c r="A145" s="65"/>
      <c r="B145" s="59"/>
      <c r="C145" s="65"/>
      <c r="D145" s="59"/>
      <c r="E145" s="65"/>
      <c r="F145" s="65"/>
      <c r="G145" s="65"/>
      <c r="H145" s="65"/>
      <c r="I145" s="65"/>
      <c r="J145" s="65"/>
      <c r="K145" s="65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8"/>
    </row>
    <row r="146" ht="15.75" customHeight="1">
      <c r="A146" s="65"/>
      <c r="B146" s="59"/>
      <c r="C146" s="217"/>
      <c r="D146" s="59"/>
      <c r="E146" s="65"/>
      <c r="F146" s="65"/>
      <c r="G146" s="65"/>
      <c r="H146" s="65"/>
      <c r="I146" s="65"/>
      <c r="J146" s="65"/>
      <c r="K146" s="65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8"/>
    </row>
    <row r="147" ht="15.75" customHeight="1">
      <c r="A147" s="65"/>
      <c r="B147" s="59"/>
      <c r="C147" s="217"/>
      <c r="D147" s="59"/>
      <c r="E147" s="65"/>
      <c r="F147" s="65"/>
      <c r="G147" s="65"/>
      <c r="H147" s="65"/>
      <c r="I147" s="65"/>
      <c r="J147" s="65"/>
      <c r="K147" s="65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8"/>
    </row>
    <row r="148" ht="15.75" customHeight="1">
      <c r="A148" s="65"/>
      <c r="B148" s="59"/>
      <c r="C148" s="217"/>
      <c r="D148" s="59"/>
      <c r="E148" s="65"/>
      <c r="F148" s="65"/>
      <c r="G148" s="65"/>
      <c r="H148" s="65"/>
      <c r="I148" s="65"/>
      <c r="J148" s="65"/>
      <c r="K148" s="65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8"/>
    </row>
    <row r="149" ht="15.75" customHeight="1">
      <c r="A149" s="65"/>
      <c r="B149" s="59"/>
      <c r="C149" s="217"/>
      <c r="D149" s="59"/>
      <c r="E149" s="65"/>
      <c r="F149" s="65"/>
      <c r="G149" s="65"/>
      <c r="H149" s="65"/>
      <c r="I149" s="65"/>
      <c r="J149" s="65"/>
      <c r="K149" s="65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8"/>
    </row>
    <row r="150" ht="15.75" customHeight="1">
      <c r="A150" s="65"/>
      <c r="B150" s="59"/>
      <c r="C150" s="217"/>
      <c r="D150" s="59"/>
      <c r="E150" s="65"/>
      <c r="F150" s="65"/>
      <c r="G150" s="65"/>
      <c r="H150" s="65"/>
      <c r="I150" s="65"/>
      <c r="J150" s="65"/>
      <c r="K150" s="65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8"/>
    </row>
    <row r="151" ht="15.75" customHeight="1">
      <c r="A151" s="65"/>
      <c r="B151" s="59"/>
      <c r="C151" s="218"/>
      <c r="D151" s="59"/>
      <c r="E151" s="65"/>
      <c r="F151" s="65"/>
      <c r="G151" s="65"/>
      <c r="H151" s="65"/>
      <c r="I151" s="65"/>
      <c r="J151" s="65"/>
      <c r="K151" s="65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8"/>
    </row>
    <row r="152" ht="15.75" customHeight="1">
      <c r="A152" s="65"/>
      <c r="B152" s="59"/>
      <c r="C152" s="219"/>
      <c r="D152" s="59"/>
      <c r="E152" s="65"/>
      <c r="F152" s="65"/>
      <c r="G152" s="65"/>
      <c r="H152" s="65"/>
      <c r="I152" s="65"/>
      <c r="J152" s="65"/>
      <c r="K152" s="65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8"/>
    </row>
    <row r="153" ht="15.75" customHeight="1">
      <c r="A153" s="65"/>
      <c r="B153" s="59"/>
      <c r="C153" s="218"/>
      <c r="D153" s="59"/>
      <c r="E153" s="65"/>
      <c r="F153" s="65"/>
      <c r="G153" s="65"/>
      <c r="H153" s="65"/>
      <c r="I153" s="65"/>
      <c r="J153" s="65"/>
      <c r="K153" s="65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8"/>
    </row>
    <row r="154" ht="15.75" customHeight="1">
      <c r="A154" s="65"/>
      <c r="B154" s="59"/>
      <c r="C154" s="220"/>
      <c r="D154" s="59"/>
      <c r="E154" s="65"/>
      <c r="F154" s="65"/>
      <c r="G154" s="65"/>
      <c r="H154" s="65"/>
      <c r="I154" s="65"/>
      <c r="J154" s="65"/>
      <c r="K154" s="65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8"/>
    </row>
    <row r="155" ht="15.75" customHeight="1">
      <c r="A155" s="65"/>
      <c r="B155" s="59"/>
      <c r="C155" s="65"/>
      <c r="D155" s="59"/>
      <c r="E155" s="65"/>
      <c r="F155" s="65"/>
      <c r="G155" s="65"/>
      <c r="H155" s="65"/>
      <c r="I155" s="65"/>
      <c r="J155" s="65"/>
      <c r="K155" s="65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8"/>
    </row>
    <row r="156" ht="15.75" customHeight="1">
      <c r="A156" s="65"/>
      <c r="B156" s="59"/>
      <c r="C156" s="207"/>
      <c r="D156" s="59"/>
      <c r="E156" s="65"/>
      <c r="F156" s="65"/>
      <c r="G156" s="65"/>
      <c r="H156" s="65"/>
      <c r="I156" s="65"/>
      <c r="J156" s="65"/>
      <c r="K156" s="65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8"/>
    </row>
    <row r="157" ht="15.75" customHeight="1">
      <c r="A157" s="65"/>
      <c r="B157" s="59"/>
      <c r="C157" s="207"/>
      <c r="D157" s="59"/>
      <c r="E157" s="65"/>
      <c r="F157" s="65"/>
      <c r="G157" s="65"/>
      <c r="H157" s="65"/>
      <c r="I157" s="65"/>
      <c r="J157" s="65"/>
      <c r="K157" s="65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8"/>
    </row>
    <row r="158" ht="15.75" customHeight="1">
      <c r="A158" s="65"/>
      <c r="B158" s="59"/>
      <c r="C158" s="207"/>
      <c r="D158" s="59"/>
      <c r="E158" s="65"/>
      <c r="F158" s="65"/>
      <c r="G158" s="65"/>
      <c r="H158" s="65"/>
      <c r="I158" s="65"/>
      <c r="J158" s="65"/>
      <c r="K158" s="65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8"/>
    </row>
    <row r="159" ht="15.75" customHeight="1">
      <c r="A159" s="65"/>
      <c r="B159" s="59"/>
      <c r="C159" s="207"/>
      <c r="D159" s="59"/>
      <c r="E159" s="65"/>
      <c r="F159" s="65"/>
      <c r="G159" s="65"/>
      <c r="H159" s="65"/>
      <c r="I159" s="65"/>
      <c r="J159" s="65"/>
      <c r="K159" s="65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8"/>
    </row>
    <row r="160" ht="15.75" customHeight="1">
      <c r="A160" s="65"/>
      <c r="B160" s="59"/>
      <c r="C160" s="207"/>
      <c r="D160" s="59"/>
      <c r="E160" s="65"/>
      <c r="F160" s="65"/>
      <c r="G160" s="65"/>
      <c r="H160" s="65"/>
      <c r="I160" s="65"/>
      <c r="J160" s="65"/>
      <c r="K160" s="65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8"/>
    </row>
    <row r="161" ht="15.75" customHeight="1">
      <c r="A161" s="65"/>
      <c r="B161" s="59"/>
      <c r="C161" s="207"/>
      <c r="D161" s="59"/>
      <c r="E161" s="65"/>
      <c r="F161" s="65"/>
      <c r="G161" s="65"/>
      <c r="H161" s="65"/>
      <c r="I161" s="65"/>
      <c r="J161" s="65"/>
      <c r="K161" s="65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8"/>
    </row>
    <row r="162" ht="15.75" customHeight="1">
      <c r="A162" s="65"/>
      <c r="B162" s="59"/>
      <c r="C162" s="207"/>
      <c r="D162" s="59"/>
      <c r="E162" s="65"/>
      <c r="F162" s="65"/>
      <c r="G162" s="65"/>
      <c r="H162" s="65"/>
      <c r="I162" s="65"/>
      <c r="J162" s="65"/>
      <c r="K162" s="65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8"/>
    </row>
    <row r="163" ht="15.75" customHeight="1">
      <c r="A163" s="65"/>
      <c r="B163" s="59"/>
      <c r="C163" s="207"/>
      <c r="D163" s="59"/>
      <c r="E163" s="65"/>
      <c r="F163" s="65"/>
      <c r="G163" s="65"/>
      <c r="H163" s="65"/>
      <c r="I163" s="65"/>
      <c r="J163" s="65"/>
      <c r="K163" s="65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8"/>
    </row>
    <row r="164" ht="15.75" customHeight="1">
      <c r="A164" s="65"/>
      <c r="B164" s="59"/>
      <c r="C164" s="207"/>
      <c r="D164" s="59"/>
      <c r="E164" s="65"/>
      <c r="F164" s="65"/>
      <c r="G164" s="65"/>
      <c r="H164" s="65"/>
      <c r="I164" s="65"/>
      <c r="J164" s="65"/>
      <c r="K164" s="65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8"/>
    </row>
    <row r="165" ht="15.75" customHeight="1">
      <c r="A165" s="65"/>
      <c r="B165" s="59"/>
      <c r="C165" s="207"/>
      <c r="D165" s="59"/>
      <c r="E165" s="65"/>
      <c r="F165" s="65"/>
      <c r="G165" s="65"/>
      <c r="H165" s="65"/>
      <c r="I165" s="65"/>
      <c r="J165" s="65"/>
      <c r="K165" s="65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8"/>
    </row>
    <row r="166" ht="15.75" customHeight="1">
      <c r="A166" s="65"/>
      <c r="B166" s="59"/>
      <c r="C166" s="207"/>
      <c r="D166" s="59"/>
      <c r="E166" s="65"/>
      <c r="F166" s="65"/>
      <c r="G166" s="65"/>
      <c r="H166" s="65"/>
      <c r="I166" s="65"/>
      <c r="J166" s="65"/>
      <c r="K166" s="65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8"/>
    </row>
    <row r="167" ht="15.75" customHeight="1">
      <c r="A167" s="65"/>
      <c r="B167" s="59"/>
      <c r="C167" s="207"/>
      <c r="D167" s="59"/>
      <c r="E167" s="65"/>
      <c r="F167" s="65"/>
      <c r="G167" s="65"/>
      <c r="H167" s="65"/>
      <c r="I167" s="65"/>
      <c r="J167" s="65"/>
      <c r="K167" s="65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8"/>
    </row>
    <row r="168" ht="15.75" customHeight="1">
      <c r="A168" s="65"/>
      <c r="B168" s="59"/>
      <c r="C168" s="207"/>
      <c r="D168" s="59"/>
      <c r="E168" s="65"/>
      <c r="F168" s="65"/>
      <c r="G168" s="65"/>
      <c r="H168" s="65"/>
      <c r="I168" s="65"/>
      <c r="J168" s="65"/>
      <c r="K168" s="65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8"/>
    </row>
    <row r="169" ht="15.75" customHeight="1">
      <c r="A169" s="65"/>
      <c r="B169" s="59"/>
      <c r="C169" s="207"/>
      <c r="D169" s="59"/>
      <c r="E169" s="65"/>
      <c r="F169" s="65"/>
      <c r="G169" s="65"/>
      <c r="H169" s="65"/>
      <c r="I169" s="65"/>
      <c r="J169" s="65"/>
      <c r="K169" s="65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8"/>
    </row>
    <row r="170" ht="15.75" customHeight="1">
      <c r="A170" s="65"/>
      <c r="B170" s="59"/>
      <c r="C170" s="207"/>
      <c r="D170" s="59"/>
      <c r="E170" s="65"/>
      <c r="F170" s="65"/>
      <c r="G170" s="65"/>
      <c r="H170" s="65"/>
      <c r="I170" s="65"/>
      <c r="J170" s="65"/>
      <c r="K170" s="65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8"/>
    </row>
    <row r="171" ht="15.75" customHeight="1">
      <c r="A171" s="65"/>
      <c r="B171" s="59"/>
      <c r="C171" s="207"/>
      <c r="D171" s="59"/>
      <c r="E171" s="65"/>
      <c r="F171" s="65"/>
      <c r="G171" s="65"/>
      <c r="H171" s="65"/>
      <c r="I171" s="65"/>
      <c r="J171" s="65"/>
      <c r="K171" s="65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8"/>
    </row>
    <row r="172" ht="15.75" customHeight="1">
      <c r="A172" s="65"/>
      <c r="B172" s="59"/>
      <c r="C172" s="207"/>
      <c r="D172" s="59"/>
      <c r="E172" s="65"/>
      <c r="F172" s="65"/>
      <c r="G172" s="65"/>
      <c r="H172" s="65"/>
      <c r="I172" s="65"/>
      <c r="J172" s="65"/>
      <c r="K172" s="65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8"/>
    </row>
    <row r="173" ht="15.75" customHeight="1">
      <c r="A173" s="65"/>
      <c r="B173" s="59"/>
      <c r="C173" s="207"/>
      <c r="D173" s="59"/>
      <c r="E173" s="65"/>
      <c r="F173" s="65"/>
      <c r="G173" s="65"/>
      <c r="H173" s="65"/>
      <c r="I173" s="65"/>
      <c r="J173" s="65"/>
      <c r="K173" s="65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8"/>
    </row>
    <row r="174" ht="15.75" customHeight="1">
      <c r="A174" s="65"/>
      <c r="B174" s="59"/>
      <c r="C174" s="207"/>
      <c r="D174" s="59"/>
      <c r="E174" s="65"/>
      <c r="F174" s="65"/>
      <c r="G174" s="65"/>
      <c r="H174" s="65"/>
      <c r="I174" s="65"/>
      <c r="J174" s="65"/>
      <c r="K174" s="65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8"/>
    </row>
    <row r="175" ht="15.75" customHeight="1">
      <c r="A175" s="65"/>
      <c r="B175" s="59"/>
      <c r="C175" s="207"/>
      <c r="D175" s="59"/>
      <c r="E175" s="65"/>
      <c r="F175" s="65"/>
      <c r="G175" s="65"/>
      <c r="H175" s="65"/>
      <c r="I175" s="65"/>
      <c r="J175" s="65"/>
      <c r="K175" s="65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8"/>
    </row>
    <row r="176" ht="15.75" customHeight="1">
      <c r="A176" s="65"/>
      <c r="B176" s="59"/>
      <c r="C176" s="207"/>
      <c r="D176" s="59"/>
      <c r="E176" s="65"/>
      <c r="F176" s="65"/>
      <c r="G176" s="65"/>
      <c r="H176" s="65"/>
      <c r="I176" s="65"/>
      <c r="J176" s="65"/>
      <c r="K176" s="65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8"/>
    </row>
    <row r="177" ht="15.75" customHeight="1">
      <c r="A177" s="65"/>
      <c r="B177" s="59"/>
      <c r="C177" s="207"/>
      <c r="D177" s="59"/>
      <c r="E177" s="65"/>
      <c r="F177" s="65"/>
      <c r="G177" s="65"/>
      <c r="H177" s="65"/>
      <c r="I177" s="65"/>
      <c r="J177" s="65"/>
      <c r="K177" s="65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8"/>
    </row>
    <row r="178" ht="15.75" customHeight="1">
      <c r="A178" s="65"/>
      <c r="B178" s="59"/>
      <c r="C178" s="207"/>
      <c r="D178" s="59"/>
      <c r="E178" s="65"/>
      <c r="F178" s="65"/>
      <c r="G178" s="65"/>
      <c r="H178" s="65"/>
      <c r="I178" s="65"/>
      <c r="J178" s="65"/>
      <c r="K178" s="65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8"/>
    </row>
    <row r="179" ht="15.75" customHeight="1">
      <c r="A179" s="65"/>
      <c r="B179" s="59"/>
      <c r="C179" s="207"/>
      <c r="D179" s="59"/>
      <c r="E179" s="65"/>
      <c r="F179" s="65"/>
      <c r="G179" s="65"/>
      <c r="H179" s="65"/>
      <c r="I179" s="65"/>
      <c r="J179" s="65"/>
      <c r="K179" s="65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8"/>
    </row>
    <row r="180" ht="15.75" customHeight="1">
      <c r="A180" s="65"/>
      <c r="B180" s="59"/>
      <c r="C180" s="207"/>
      <c r="D180" s="59"/>
      <c r="E180" s="65"/>
      <c r="F180" s="65"/>
      <c r="G180" s="65"/>
      <c r="H180" s="65"/>
      <c r="I180" s="65"/>
      <c r="J180" s="65"/>
      <c r="K180" s="65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8"/>
    </row>
    <row r="181" ht="15.75" customHeight="1">
      <c r="A181" s="65"/>
      <c r="B181" s="59"/>
      <c r="C181" s="207"/>
      <c r="D181" s="59"/>
      <c r="E181" s="65"/>
      <c r="F181" s="65"/>
      <c r="G181" s="65"/>
      <c r="H181" s="65"/>
      <c r="I181" s="65"/>
      <c r="J181" s="65"/>
      <c r="K181" s="65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8"/>
    </row>
    <row r="182" ht="15.75" customHeight="1">
      <c r="A182" s="65"/>
      <c r="B182" s="59"/>
      <c r="C182" s="207"/>
      <c r="D182" s="59"/>
      <c r="E182" s="65"/>
      <c r="F182" s="65"/>
      <c r="G182" s="65"/>
      <c r="H182" s="65"/>
      <c r="I182" s="65"/>
      <c r="J182" s="65"/>
      <c r="K182" s="65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8"/>
    </row>
    <row r="183" ht="15.75" customHeight="1">
      <c r="A183" s="65"/>
      <c r="B183" s="59"/>
      <c r="C183" s="207"/>
      <c r="D183" s="59"/>
      <c r="E183" s="65"/>
      <c r="F183" s="65"/>
      <c r="G183" s="65"/>
      <c r="H183" s="65"/>
      <c r="I183" s="65"/>
      <c r="J183" s="65"/>
      <c r="K183" s="65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8"/>
    </row>
    <row r="184" ht="15.75" customHeight="1">
      <c r="A184" s="65"/>
      <c r="B184" s="59"/>
      <c r="C184" s="207"/>
      <c r="D184" s="59"/>
      <c r="E184" s="65"/>
      <c r="F184" s="65"/>
      <c r="G184" s="65"/>
      <c r="H184" s="65"/>
      <c r="I184" s="65"/>
      <c r="J184" s="65"/>
      <c r="K184" s="65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8"/>
    </row>
    <row r="185" ht="15.75" customHeight="1">
      <c r="A185" s="65"/>
      <c r="B185" s="59"/>
      <c r="C185" s="207"/>
      <c r="D185" s="59"/>
      <c r="E185" s="65"/>
      <c r="F185" s="65"/>
      <c r="G185" s="65"/>
      <c r="H185" s="65"/>
      <c r="I185" s="65"/>
      <c r="J185" s="65"/>
      <c r="K185" s="65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8"/>
    </row>
    <row r="186" ht="15.75" customHeight="1">
      <c r="A186" s="65"/>
      <c r="B186" s="59"/>
      <c r="C186" s="207"/>
      <c r="D186" s="59"/>
      <c r="E186" s="65"/>
      <c r="F186" s="65"/>
      <c r="G186" s="65"/>
      <c r="H186" s="65"/>
      <c r="I186" s="65"/>
      <c r="J186" s="65"/>
      <c r="K186" s="65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8"/>
    </row>
    <row r="187" ht="15.75" customHeight="1">
      <c r="A187" s="65"/>
      <c r="B187" s="59"/>
      <c r="C187" s="65"/>
      <c r="D187" s="59"/>
      <c r="E187" s="65"/>
      <c r="F187" s="65"/>
      <c r="G187" s="65"/>
      <c r="H187" s="65"/>
      <c r="I187" s="65"/>
      <c r="J187" s="65"/>
      <c r="K187" s="65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8"/>
    </row>
    <row r="188" ht="15.75" customHeight="1">
      <c r="A188" s="65"/>
      <c r="B188" s="59"/>
      <c r="C188" s="65"/>
      <c r="D188" s="59"/>
      <c r="E188" s="65"/>
      <c r="F188" s="65"/>
      <c r="G188" s="65"/>
      <c r="H188" s="65"/>
      <c r="I188" s="65"/>
      <c r="J188" s="65"/>
      <c r="K188" s="65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8"/>
    </row>
    <row r="189" ht="15.75" customHeight="1">
      <c r="A189" s="65"/>
      <c r="B189" s="59"/>
      <c r="C189" s="65"/>
      <c r="D189" s="59"/>
      <c r="E189" s="65"/>
      <c r="F189" s="65"/>
      <c r="G189" s="65"/>
      <c r="H189" s="65"/>
      <c r="I189" s="65"/>
      <c r="J189" s="65"/>
      <c r="K189" s="65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8"/>
    </row>
    <row r="190" ht="15.75" customHeight="1">
      <c r="A190" s="65"/>
      <c r="B190" s="59"/>
      <c r="C190" s="65"/>
      <c r="D190" s="59"/>
      <c r="E190" s="65"/>
      <c r="F190" s="65"/>
      <c r="G190" s="65"/>
      <c r="H190" s="65"/>
      <c r="I190" s="65"/>
      <c r="J190" s="65"/>
      <c r="K190" s="65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8"/>
    </row>
    <row r="191" ht="15.75" customHeight="1">
      <c r="A191" s="65"/>
      <c r="B191" s="59"/>
      <c r="C191" s="65"/>
      <c r="D191" s="59"/>
      <c r="E191" s="65"/>
      <c r="F191" s="65"/>
      <c r="G191" s="65"/>
      <c r="H191" s="65"/>
      <c r="I191" s="65"/>
      <c r="J191" s="65"/>
      <c r="K191" s="65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8"/>
    </row>
    <row r="192" ht="15.75" customHeight="1">
      <c r="A192" s="65"/>
      <c r="B192" s="59"/>
      <c r="C192" s="65"/>
      <c r="D192" s="59"/>
      <c r="E192" s="65"/>
      <c r="F192" s="65"/>
      <c r="G192" s="65"/>
      <c r="H192" s="65"/>
      <c r="I192" s="65"/>
      <c r="J192" s="65"/>
      <c r="K192" s="65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8"/>
    </row>
    <row r="193" ht="15.75" customHeight="1">
      <c r="A193" s="65"/>
      <c r="B193" s="59"/>
      <c r="C193" s="65"/>
      <c r="D193" s="59"/>
      <c r="E193" s="65"/>
      <c r="F193" s="65"/>
      <c r="G193" s="65"/>
      <c r="H193" s="65"/>
      <c r="I193" s="65"/>
      <c r="J193" s="65"/>
      <c r="K193" s="65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8"/>
    </row>
    <row r="194" ht="15.75" customHeight="1">
      <c r="A194" s="65"/>
      <c r="B194" s="59"/>
      <c r="C194" s="65"/>
      <c r="D194" s="59"/>
      <c r="E194" s="65"/>
      <c r="F194" s="65"/>
      <c r="G194" s="65"/>
      <c r="H194" s="65"/>
      <c r="I194" s="65"/>
      <c r="J194" s="65"/>
      <c r="K194" s="65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8"/>
    </row>
    <row r="195" ht="15.75" customHeight="1">
      <c r="A195" s="65"/>
      <c r="B195" s="59"/>
      <c r="C195" s="65"/>
      <c r="D195" s="59"/>
      <c r="E195" s="65"/>
      <c r="F195" s="65"/>
      <c r="G195" s="65"/>
      <c r="H195" s="65"/>
      <c r="I195" s="65"/>
      <c r="J195" s="65"/>
      <c r="K195" s="65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8"/>
    </row>
    <row r="196" ht="15.75" customHeight="1">
      <c r="A196" s="65"/>
      <c r="B196" s="59"/>
      <c r="C196" s="65"/>
      <c r="D196" s="59"/>
      <c r="E196" s="65"/>
      <c r="F196" s="65"/>
      <c r="G196" s="65"/>
      <c r="H196" s="65"/>
      <c r="I196" s="65"/>
      <c r="J196" s="65"/>
      <c r="K196" s="65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8"/>
    </row>
    <row r="197" ht="15.75" customHeight="1">
      <c r="A197" s="65"/>
      <c r="B197" s="59"/>
      <c r="C197" s="65"/>
      <c r="D197" s="59"/>
      <c r="E197" s="65"/>
      <c r="F197" s="65"/>
      <c r="G197" s="65"/>
      <c r="H197" s="65"/>
      <c r="I197" s="65"/>
      <c r="J197" s="65"/>
      <c r="K197" s="65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8"/>
    </row>
    <row r="198" ht="15.75" customHeight="1">
      <c r="A198" s="65"/>
      <c r="B198" s="59"/>
      <c r="C198" s="65"/>
      <c r="D198" s="59"/>
      <c r="E198" s="65"/>
      <c r="F198" s="65"/>
      <c r="G198" s="65"/>
      <c r="H198" s="65"/>
      <c r="I198" s="65"/>
      <c r="J198" s="65"/>
      <c r="K198" s="65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8"/>
    </row>
    <row r="199" ht="15.75" customHeight="1">
      <c r="A199" s="65"/>
      <c r="B199" s="59"/>
      <c r="C199" s="65"/>
      <c r="D199" s="59"/>
      <c r="E199" s="65"/>
      <c r="F199" s="65"/>
      <c r="G199" s="65"/>
      <c r="H199" s="65"/>
      <c r="I199" s="65"/>
      <c r="J199" s="65"/>
      <c r="K199" s="65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8"/>
    </row>
    <row r="200" ht="15.75" customHeight="1">
      <c r="A200" s="65"/>
      <c r="B200" s="59"/>
      <c r="C200" s="65"/>
      <c r="D200" s="59"/>
      <c r="E200" s="65"/>
      <c r="F200" s="65"/>
      <c r="G200" s="65"/>
      <c r="H200" s="65"/>
      <c r="I200" s="65"/>
      <c r="J200" s="65"/>
      <c r="K200" s="65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8"/>
    </row>
    <row r="201" ht="15.75" customHeight="1">
      <c r="A201" s="65"/>
      <c r="B201" s="59"/>
      <c r="C201" s="65"/>
      <c r="D201" s="59"/>
      <c r="E201" s="65"/>
      <c r="F201" s="65"/>
      <c r="G201" s="65"/>
      <c r="H201" s="65"/>
      <c r="I201" s="65"/>
      <c r="J201" s="65"/>
      <c r="K201" s="65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8"/>
    </row>
    <row r="202" ht="15.75" customHeight="1">
      <c r="A202" s="65"/>
      <c r="B202" s="59"/>
      <c r="C202" s="65"/>
      <c r="D202" s="59"/>
      <c r="E202" s="65"/>
      <c r="F202" s="65"/>
      <c r="G202" s="65"/>
      <c r="H202" s="65"/>
      <c r="I202" s="65"/>
      <c r="J202" s="65"/>
      <c r="K202" s="65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8"/>
    </row>
    <row r="203" ht="15.75" customHeight="1">
      <c r="A203" s="65"/>
      <c r="B203" s="59"/>
      <c r="C203" s="65"/>
      <c r="D203" s="59"/>
      <c r="E203" s="65"/>
      <c r="F203" s="65"/>
      <c r="G203" s="65"/>
      <c r="H203" s="65"/>
      <c r="I203" s="65"/>
      <c r="J203" s="65"/>
      <c r="K203" s="65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8"/>
    </row>
    <row r="204" ht="15.75" customHeight="1">
      <c r="A204" s="65"/>
      <c r="B204" s="59"/>
      <c r="C204" s="65"/>
      <c r="D204" s="59"/>
      <c r="E204" s="65"/>
      <c r="F204" s="65"/>
      <c r="G204" s="65"/>
      <c r="H204" s="65"/>
      <c r="I204" s="65"/>
      <c r="J204" s="65"/>
      <c r="K204" s="65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8"/>
    </row>
    <row r="205" ht="15.75" customHeight="1">
      <c r="A205" s="65"/>
      <c r="B205" s="59"/>
      <c r="C205" s="65"/>
      <c r="D205" s="59"/>
      <c r="E205" s="65"/>
      <c r="F205" s="65"/>
      <c r="G205" s="65"/>
      <c r="H205" s="65"/>
      <c r="I205" s="65"/>
      <c r="J205" s="65"/>
      <c r="K205" s="65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8"/>
    </row>
    <row r="206" ht="15.75" customHeight="1">
      <c r="A206" s="65"/>
      <c r="B206" s="59"/>
      <c r="C206" s="65"/>
      <c r="D206" s="59"/>
      <c r="E206" s="65"/>
      <c r="F206" s="65"/>
      <c r="G206" s="65"/>
      <c r="H206" s="65"/>
      <c r="I206" s="65"/>
      <c r="J206" s="65"/>
      <c r="K206" s="65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8"/>
    </row>
    <row r="207" ht="15.75" customHeight="1">
      <c r="A207" s="65"/>
      <c r="B207" s="59"/>
      <c r="C207" s="65"/>
      <c r="D207" s="59"/>
      <c r="E207" s="65"/>
      <c r="F207" s="65"/>
      <c r="G207" s="65"/>
      <c r="H207" s="65"/>
      <c r="I207" s="65"/>
      <c r="J207" s="65"/>
      <c r="K207" s="65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8"/>
    </row>
    <row r="208" ht="15.75" customHeight="1">
      <c r="A208" s="65"/>
      <c r="B208" s="59"/>
      <c r="C208" s="65"/>
      <c r="D208" s="59"/>
      <c r="E208" s="65"/>
      <c r="F208" s="65"/>
      <c r="G208" s="65"/>
      <c r="H208" s="65"/>
      <c r="I208" s="65"/>
      <c r="J208" s="65"/>
      <c r="K208" s="65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8"/>
    </row>
    <row r="209" ht="15.75" customHeight="1">
      <c r="A209" s="65"/>
      <c r="B209" s="59"/>
      <c r="C209" s="65"/>
      <c r="D209" s="59"/>
      <c r="E209" s="65"/>
      <c r="F209" s="65"/>
      <c r="G209" s="65"/>
      <c r="H209" s="65"/>
      <c r="I209" s="65"/>
      <c r="J209" s="65"/>
      <c r="K209" s="65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8"/>
    </row>
    <row r="210" ht="15.75" customHeight="1">
      <c r="A210" s="65"/>
      <c r="B210" s="59"/>
      <c r="C210" s="65"/>
      <c r="D210" s="59"/>
      <c r="E210" s="65"/>
      <c r="F210" s="65"/>
      <c r="G210" s="65"/>
      <c r="H210" s="65"/>
      <c r="I210" s="65"/>
      <c r="J210" s="65"/>
      <c r="K210" s="65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8"/>
    </row>
    <row r="211" ht="15.75" customHeight="1">
      <c r="A211" s="65"/>
      <c r="B211" s="59"/>
      <c r="C211" s="65"/>
      <c r="D211" s="59"/>
      <c r="E211" s="65"/>
      <c r="F211" s="65"/>
      <c r="G211" s="65"/>
      <c r="H211" s="65"/>
      <c r="I211" s="65"/>
      <c r="J211" s="65"/>
      <c r="K211" s="65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8"/>
    </row>
    <row r="212" ht="15.75" customHeight="1">
      <c r="A212" s="65"/>
      <c r="B212" s="59"/>
      <c r="C212" s="65"/>
      <c r="D212" s="59"/>
      <c r="E212" s="65"/>
      <c r="F212" s="65"/>
      <c r="G212" s="65"/>
      <c r="H212" s="65"/>
      <c r="I212" s="65"/>
      <c r="J212" s="65"/>
      <c r="K212" s="65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8"/>
    </row>
    <row r="213" ht="15.75" customHeight="1">
      <c r="A213" s="65"/>
      <c r="B213" s="59"/>
      <c r="C213" s="65"/>
      <c r="D213" s="59"/>
      <c r="E213" s="65"/>
      <c r="F213" s="65"/>
      <c r="G213" s="65"/>
      <c r="H213" s="65"/>
      <c r="I213" s="65"/>
      <c r="J213" s="65"/>
      <c r="K213" s="65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8"/>
    </row>
    <row r="214" ht="15.75" customHeight="1">
      <c r="A214" s="65"/>
      <c r="B214" s="59"/>
      <c r="C214" s="65"/>
      <c r="D214" s="59"/>
      <c r="E214" s="65"/>
      <c r="F214" s="65"/>
      <c r="G214" s="65"/>
      <c r="H214" s="65"/>
      <c r="I214" s="65"/>
      <c r="J214" s="65"/>
      <c r="K214" s="65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8"/>
    </row>
    <row r="215" ht="15.75" customHeight="1">
      <c r="A215" s="65"/>
      <c r="B215" s="59"/>
      <c r="C215" s="65"/>
      <c r="D215" s="59"/>
      <c r="E215" s="65"/>
      <c r="F215" s="65"/>
      <c r="G215" s="65"/>
      <c r="H215" s="65"/>
      <c r="I215" s="65"/>
      <c r="J215" s="65"/>
      <c r="K215" s="65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8"/>
    </row>
    <row r="216" ht="15.75" customHeight="1">
      <c r="A216" s="65"/>
      <c r="B216" s="59"/>
      <c r="C216" s="65"/>
      <c r="D216" s="59"/>
      <c r="E216" s="65"/>
      <c r="F216" s="65"/>
      <c r="G216" s="65"/>
      <c r="H216" s="65"/>
      <c r="I216" s="65"/>
      <c r="J216" s="65"/>
      <c r="K216" s="65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8"/>
    </row>
    <row r="217" ht="15.75" customHeight="1">
      <c r="A217" s="65"/>
      <c r="B217" s="59"/>
      <c r="C217" s="65"/>
      <c r="D217" s="59"/>
      <c r="E217" s="65"/>
      <c r="F217" s="65"/>
      <c r="G217" s="65"/>
      <c r="H217" s="65"/>
      <c r="I217" s="65"/>
      <c r="J217" s="65"/>
      <c r="K217" s="65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8"/>
    </row>
    <row r="218" ht="15.75" customHeight="1">
      <c r="A218" s="65"/>
      <c r="B218" s="59"/>
      <c r="C218" s="65"/>
      <c r="D218" s="59"/>
      <c r="E218" s="65"/>
      <c r="F218" s="65"/>
      <c r="G218" s="65"/>
      <c r="H218" s="65"/>
      <c r="I218" s="65"/>
      <c r="J218" s="65"/>
      <c r="K218" s="65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8"/>
    </row>
    <row r="219" ht="15.75" customHeight="1">
      <c r="A219" s="65"/>
      <c r="B219" s="59"/>
      <c r="C219" s="65"/>
      <c r="D219" s="59"/>
      <c r="E219" s="65"/>
      <c r="F219" s="65"/>
      <c r="G219" s="65"/>
      <c r="H219" s="65"/>
      <c r="I219" s="65"/>
      <c r="J219" s="65"/>
      <c r="K219" s="65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8"/>
    </row>
    <row r="220" ht="15.75" customHeight="1">
      <c r="A220" s="65"/>
      <c r="B220" s="59"/>
      <c r="C220" s="65"/>
      <c r="D220" s="59"/>
      <c r="E220" s="65"/>
      <c r="F220" s="65"/>
      <c r="G220" s="65"/>
      <c r="H220" s="65"/>
      <c r="I220" s="65"/>
      <c r="J220" s="65"/>
      <c r="K220" s="65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8"/>
    </row>
    <row r="221" ht="15.75" customHeight="1">
      <c r="A221" s="65"/>
      <c r="B221" s="59"/>
      <c r="C221" s="65"/>
      <c r="D221" s="59"/>
      <c r="E221" s="65"/>
      <c r="F221" s="65"/>
      <c r="G221" s="65"/>
      <c r="H221" s="65"/>
      <c r="I221" s="65"/>
      <c r="J221" s="65"/>
      <c r="K221" s="65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8"/>
    </row>
    <row r="222" ht="15.75" customHeight="1">
      <c r="A222" s="65"/>
      <c r="B222" s="59"/>
      <c r="C222" s="65"/>
      <c r="D222" s="59"/>
      <c r="E222" s="65"/>
      <c r="F222" s="65"/>
      <c r="G222" s="65"/>
      <c r="H222" s="65"/>
      <c r="I222" s="65"/>
      <c r="J222" s="65"/>
      <c r="K222" s="65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8"/>
    </row>
    <row r="223" ht="15.75" customHeight="1">
      <c r="A223" s="65"/>
      <c r="B223" s="59"/>
      <c r="C223" s="65"/>
      <c r="D223" s="59"/>
      <c r="E223" s="65"/>
      <c r="F223" s="65"/>
      <c r="G223" s="65"/>
      <c r="H223" s="65"/>
      <c r="I223" s="65"/>
      <c r="J223" s="65"/>
      <c r="K223" s="65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8"/>
    </row>
    <row r="224" ht="15.75" customHeight="1">
      <c r="A224" s="65"/>
      <c r="B224" s="59"/>
      <c r="C224" s="65"/>
      <c r="D224" s="59"/>
      <c r="E224" s="65"/>
      <c r="F224" s="65"/>
      <c r="G224" s="65"/>
      <c r="H224" s="65"/>
      <c r="I224" s="65"/>
      <c r="J224" s="65"/>
      <c r="K224" s="65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8"/>
    </row>
    <row r="225" ht="15.75" customHeight="1">
      <c r="A225" s="65"/>
      <c r="B225" s="59"/>
      <c r="C225" s="65"/>
      <c r="D225" s="59"/>
      <c r="E225" s="65"/>
      <c r="F225" s="65"/>
      <c r="G225" s="65"/>
      <c r="H225" s="65"/>
      <c r="I225" s="65"/>
      <c r="J225" s="65"/>
    </row>
    <row r="226" ht="15.75" customHeight="1">
      <c r="A226" s="65"/>
      <c r="B226" s="59"/>
      <c r="C226" s="65"/>
      <c r="D226" s="59"/>
      <c r="E226" s="65"/>
      <c r="F226" s="65"/>
      <c r="G226" s="65"/>
      <c r="H226" s="65"/>
      <c r="I226" s="65"/>
      <c r="J226" s="65"/>
    </row>
    <row r="227" ht="15.75" customHeight="1">
      <c r="A227" s="65"/>
      <c r="B227" s="59"/>
      <c r="C227" s="65"/>
      <c r="D227" s="59"/>
      <c r="E227" s="65"/>
      <c r="F227" s="65"/>
      <c r="G227" s="65"/>
      <c r="H227" s="65"/>
      <c r="I227" s="65"/>
      <c r="J227" s="65"/>
    </row>
    <row r="228" ht="15.75" customHeight="1">
      <c r="A228" s="65"/>
      <c r="B228" s="59"/>
      <c r="C228" s="65"/>
      <c r="D228" s="59"/>
      <c r="E228" s="65"/>
      <c r="F228" s="65"/>
      <c r="G228" s="65"/>
      <c r="H228" s="65"/>
      <c r="I228" s="65"/>
      <c r="J228" s="65"/>
    </row>
    <row r="229" ht="15.75" customHeight="1">
      <c r="A229" s="65"/>
      <c r="B229" s="59"/>
      <c r="C229" s="65"/>
      <c r="D229" s="59"/>
      <c r="E229" s="65"/>
      <c r="F229" s="65"/>
      <c r="G229" s="65"/>
      <c r="H229" s="65"/>
      <c r="I229" s="65"/>
      <c r="J229" s="65"/>
    </row>
    <row r="230" ht="15.75" customHeight="1">
      <c r="A230" s="65"/>
      <c r="B230" s="59"/>
      <c r="C230" s="65"/>
      <c r="D230" s="59"/>
      <c r="E230" s="65"/>
      <c r="F230" s="65"/>
      <c r="G230" s="65"/>
      <c r="H230" s="65"/>
      <c r="I230" s="65"/>
      <c r="J230" s="65"/>
    </row>
    <row r="231" ht="15.75" customHeight="1">
      <c r="A231" s="65"/>
      <c r="B231" s="59"/>
      <c r="C231" s="65"/>
      <c r="D231" s="59"/>
      <c r="E231" s="65"/>
      <c r="F231" s="65"/>
      <c r="G231" s="65"/>
      <c r="H231" s="65"/>
      <c r="I231" s="65"/>
      <c r="J231" s="65"/>
    </row>
    <row r="232" ht="15.75" customHeight="1">
      <c r="A232" s="65"/>
      <c r="B232" s="59"/>
      <c r="C232" s="65"/>
      <c r="D232" s="59"/>
      <c r="E232" s="65"/>
      <c r="F232" s="65"/>
      <c r="G232" s="65"/>
      <c r="H232" s="65"/>
      <c r="I232" s="65"/>
      <c r="J232" s="65"/>
    </row>
    <row r="233" ht="15.75" customHeight="1">
      <c r="A233" s="65"/>
      <c r="B233" s="59"/>
      <c r="C233" s="65"/>
      <c r="D233" s="59"/>
      <c r="E233" s="65"/>
      <c r="F233" s="65"/>
      <c r="G233" s="65"/>
      <c r="H233" s="65"/>
      <c r="I233" s="65"/>
      <c r="J233" s="65"/>
    </row>
    <row r="234" ht="15.75" customHeight="1">
      <c r="A234" s="65"/>
      <c r="B234" s="59"/>
      <c r="C234" s="65"/>
      <c r="D234" s="59"/>
      <c r="E234" s="65"/>
      <c r="F234" s="65"/>
      <c r="G234" s="65"/>
      <c r="H234" s="65"/>
      <c r="I234" s="65"/>
      <c r="J234" s="65"/>
    </row>
    <row r="235" ht="15.75" customHeight="1">
      <c r="A235" s="65"/>
      <c r="B235" s="59"/>
      <c r="C235" s="65"/>
      <c r="D235" s="59"/>
      <c r="E235" s="65"/>
      <c r="F235" s="65"/>
      <c r="G235" s="65"/>
      <c r="H235" s="65"/>
      <c r="I235" s="65"/>
      <c r="J235" s="65"/>
    </row>
    <row r="236" ht="15.75" customHeight="1">
      <c r="A236" s="65"/>
      <c r="B236" s="59"/>
      <c r="C236" s="65"/>
      <c r="D236" s="59"/>
      <c r="E236" s="65"/>
      <c r="F236" s="65"/>
      <c r="G236" s="65"/>
      <c r="H236" s="65"/>
      <c r="I236" s="65"/>
      <c r="J236" s="65"/>
    </row>
    <row r="237" ht="15.75" customHeight="1">
      <c r="A237" s="65"/>
      <c r="B237" s="59"/>
      <c r="C237" s="65"/>
      <c r="D237" s="59"/>
      <c r="E237" s="65"/>
      <c r="F237" s="65"/>
      <c r="G237" s="65"/>
      <c r="H237" s="65"/>
      <c r="I237" s="65"/>
      <c r="J237" s="65"/>
    </row>
    <row r="238" ht="15.75" customHeight="1">
      <c r="A238" s="65"/>
      <c r="B238" s="59"/>
      <c r="C238" s="65"/>
      <c r="D238" s="59"/>
      <c r="E238" s="65"/>
      <c r="F238" s="65"/>
      <c r="G238" s="65"/>
      <c r="H238" s="65"/>
      <c r="I238" s="65"/>
      <c r="J238" s="65"/>
    </row>
    <row r="239" ht="15.75" customHeight="1">
      <c r="A239" s="65"/>
      <c r="B239" s="59"/>
      <c r="C239" s="65"/>
      <c r="D239" s="59"/>
      <c r="E239" s="65"/>
      <c r="F239" s="65"/>
      <c r="G239" s="65"/>
      <c r="H239" s="65"/>
      <c r="I239" s="65"/>
      <c r="J239" s="65"/>
    </row>
    <row r="240" ht="15.75" customHeight="1">
      <c r="A240" s="65"/>
      <c r="B240" s="59"/>
      <c r="C240" s="65"/>
      <c r="D240" s="59"/>
      <c r="E240" s="65"/>
      <c r="F240" s="65"/>
      <c r="G240" s="65"/>
      <c r="H240" s="65"/>
      <c r="I240" s="65"/>
      <c r="J240" s="65"/>
    </row>
    <row r="241" ht="15.75" customHeight="1">
      <c r="A241" s="65"/>
      <c r="B241" s="59"/>
      <c r="C241" s="65"/>
      <c r="D241" s="59"/>
      <c r="E241" s="65"/>
      <c r="F241" s="65"/>
      <c r="G241" s="65"/>
      <c r="H241" s="65"/>
      <c r="I241" s="65"/>
      <c r="J241" s="65"/>
    </row>
    <row r="242" ht="15.75" customHeight="1">
      <c r="A242" s="65"/>
      <c r="B242" s="59"/>
      <c r="C242" s="65"/>
      <c r="D242" s="59"/>
      <c r="E242" s="65"/>
      <c r="F242" s="65"/>
      <c r="G242" s="65"/>
      <c r="H242" s="65"/>
      <c r="I242" s="65"/>
      <c r="J242" s="65"/>
    </row>
    <row r="243" ht="15.75" customHeight="1">
      <c r="A243" s="65"/>
      <c r="B243" s="59"/>
      <c r="C243" s="65"/>
      <c r="D243" s="59"/>
      <c r="E243" s="65"/>
      <c r="F243" s="65"/>
      <c r="G243" s="65"/>
      <c r="H243" s="65"/>
      <c r="I243" s="65"/>
      <c r="J243" s="65"/>
    </row>
    <row r="244" ht="15.75" customHeight="1">
      <c r="A244" s="65"/>
      <c r="B244" s="59"/>
      <c r="C244" s="65"/>
      <c r="D244" s="59"/>
      <c r="E244" s="65"/>
      <c r="F244" s="65"/>
      <c r="G244" s="65"/>
      <c r="H244" s="65"/>
      <c r="I244" s="65"/>
      <c r="J244" s="65"/>
    </row>
    <row r="245" ht="15.75" customHeight="1">
      <c r="A245" s="65"/>
      <c r="B245" s="59"/>
      <c r="C245" s="65"/>
      <c r="D245" s="59"/>
      <c r="E245" s="65"/>
      <c r="F245" s="65"/>
      <c r="G245" s="65"/>
      <c r="H245" s="65"/>
      <c r="I245" s="65"/>
      <c r="J245" s="65"/>
    </row>
    <row r="246" ht="15.75" customHeight="1">
      <c r="A246" s="65"/>
      <c r="B246" s="59"/>
      <c r="C246" s="65"/>
      <c r="D246" s="59"/>
      <c r="E246" s="65"/>
      <c r="F246" s="65"/>
      <c r="G246" s="65"/>
      <c r="H246" s="65"/>
      <c r="I246" s="65"/>
      <c r="J246" s="65"/>
    </row>
    <row r="247" ht="15.75" customHeight="1">
      <c r="A247" s="65"/>
      <c r="B247" s="59"/>
      <c r="C247" s="65"/>
      <c r="D247" s="59"/>
      <c r="E247" s="65"/>
      <c r="F247" s="65"/>
      <c r="G247" s="65"/>
      <c r="H247" s="65"/>
      <c r="I247" s="65"/>
      <c r="J247" s="65"/>
    </row>
    <row r="248" ht="15.75" customHeight="1">
      <c r="A248" s="65"/>
      <c r="B248" s="59"/>
      <c r="C248" s="65"/>
      <c r="D248" s="59"/>
      <c r="E248" s="65"/>
      <c r="F248" s="65"/>
      <c r="G248" s="65"/>
      <c r="H248" s="65"/>
      <c r="I248" s="65"/>
      <c r="J248" s="65"/>
    </row>
    <row r="249" ht="15.75" customHeight="1">
      <c r="A249" s="65"/>
      <c r="B249" s="59"/>
      <c r="C249" s="65"/>
      <c r="D249" s="59"/>
      <c r="E249" s="65"/>
      <c r="F249" s="65"/>
      <c r="G249" s="65"/>
      <c r="H249" s="65"/>
      <c r="I249" s="65"/>
      <c r="J249" s="65"/>
    </row>
    <row r="250" ht="15.75" customHeight="1">
      <c r="A250" s="65"/>
      <c r="B250" s="59"/>
      <c r="C250" s="65"/>
      <c r="D250" s="59"/>
      <c r="E250" s="65"/>
      <c r="F250" s="65"/>
      <c r="G250" s="65"/>
      <c r="H250" s="65"/>
      <c r="I250" s="65"/>
      <c r="J250" s="65"/>
    </row>
    <row r="251" ht="15.75" customHeight="1">
      <c r="A251" s="65"/>
      <c r="B251" s="59"/>
      <c r="C251" s="65"/>
      <c r="D251" s="59"/>
      <c r="E251" s="65"/>
      <c r="F251" s="65"/>
      <c r="G251" s="65"/>
      <c r="H251" s="65"/>
      <c r="I251" s="65"/>
      <c r="J251" s="65"/>
    </row>
    <row r="252" ht="15.75" customHeight="1">
      <c r="A252" s="65"/>
      <c r="B252" s="59"/>
      <c r="C252" s="65"/>
      <c r="D252" s="59"/>
      <c r="E252" s="65"/>
      <c r="F252" s="65"/>
      <c r="G252" s="65"/>
      <c r="H252" s="65"/>
      <c r="I252" s="65"/>
      <c r="J252" s="65"/>
    </row>
    <row r="253" ht="15.75" customHeight="1">
      <c r="A253" s="65"/>
      <c r="B253" s="59"/>
      <c r="C253" s="65"/>
      <c r="D253" s="59"/>
      <c r="E253" s="65"/>
      <c r="F253" s="65"/>
      <c r="G253" s="65"/>
      <c r="H253" s="65"/>
      <c r="I253" s="65"/>
      <c r="J253" s="65"/>
    </row>
    <row r="254" ht="15.75" customHeight="1">
      <c r="A254" s="65"/>
      <c r="B254" s="59"/>
      <c r="C254" s="65"/>
      <c r="D254" s="59"/>
      <c r="E254" s="65"/>
      <c r="F254" s="65"/>
      <c r="G254" s="65"/>
      <c r="H254" s="65"/>
      <c r="I254" s="65"/>
      <c r="J254" s="65"/>
    </row>
    <row r="255" ht="15.75" customHeight="1">
      <c r="A255" s="65"/>
      <c r="B255" s="59"/>
      <c r="C255" s="65"/>
      <c r="D255" s="59"/>
      <c r="E255" s="65"/>
      <c r="F255" s="65"/>
      <c r="G255" s="65"/>
      <c r="H255" s="65"/>
      <c r="I255" s="65"/>
      <c r="J255" s="65"/>
    </row>
    <row r="256" ht="15.75" customHeight="1">
      <c r="A256" s="65"/>
      <c r="B256" s="59"/>
      <c r="C256" s="65"/>
      <c r="D256" s="59"/>
      <c r="E256" s="65"/>
      <c r="F256" s="65"/>
      <c r="G256" s="65"/>
      <c r="H256" s="65"/>
      <c r="I256" s="65"/>
      <c r="J256" s="65"/>
    </row>
    <row r="257" ht="15.75" customHeight="1">
      <c r="A257" s="65"/>
      <c r="B257" s="59"/>
      <c r="C257" s="65"/>
      <c r="D257" s="211"/>
    </row>
    <row r="258" ht="15.75" customHeight="1">
      <c r="A258" s="65"/>
      <c r="B258" s="59"/>
      <c r="C258" s="65"/>
      <c r="D258" s="211"/>
    </row>
    <row r="259" ht="15.75" customHeight="1">
      <c r="A259" s="65"/>
      <c r="B259" s="59"/>
      <c r="C259" s="65"/>
      <c r="D259" s="211"/>
    </row>
    <row r="260" ht="15.75" customHeight="1">
      <c r="A260" s="127"/>
      <c r="B260" s="211"/>
      <c r="D260" s="211"/>
    </row>
    <row r="261" ht="15.75" customHeight="1">
      <c r="A261" s="127"/>
      <c r="B261" s="211"/>
      <c r="D261" s="211"/>
    </row>
    <row r="262" ht="15.75" customHeight="1">
      <c r="A262" s="127"/>
      <c r="B262" s="211"/>
      <c r="D262" s="211"/>
    </row>
    <row r="263" ht="15.75" customHeight="1">
      <c r="A263" s="127"/>
      <c r="B263" s="211"/>
      <c r="D263" s="211"/>
    </row>
    <row r="264" ht="15.75" customHeight="1">
      <c r="A264" s="127"/>
      <c r="B264" s="211"/>
      <c r="D264" s="211"/>
    </row>
    <row r="265" ht="15.75" customHeight="1">
      <c r="A265" s="127"/>
      <c r="B265" s="211"/>
      <c r="D265" s="211"/>
    </row>
    <row r="266" ht="15.75" customHeight="1">
      <c r="A266" s="127"/>
      <c r="B266" s="211"/>
      <c r="D266" s="211"/>
    </row>
    <row r="267" ht="15.75" customHeight="1">
      <c r="A267" s="127"/>
      <c r="B267" s="211"/>
      <c r="D267" s="211"/>
    </row>
    <row r="268" ht="15.75" customHeight="1">
      <c r="A268" s="127"/>
      <c r="B268" s="211"/>
      <c r="D268" s="211"/>
    </row>
    <row r="269" ht="15.75" customHeight="1">
      <c r="A269" s="127"/>
      <c r="B269" s="211"/>
      <c r="D269" s="211"/>
    </row>
    <row r="270" ht="15.75" customHeight="1">
      <c r="A270" s="127"/>
      <c r="B270" s="211"/>
      <c r="D270" s="211"/>
    </row>
    <row r="271" ht="15.75" customHeight="1">
      <c r="A271" s="127"/>
      <c r="B271" s="211"/>
      <c r="D271" s="211"/>
    </row>
    <row r="272" ht="15.75" customHeight="1">
      <c r="A272" s="127"/>
      <c r="B272" s="211"/>
      <c r="D272" s="211"/>
    </row>
    <row r="273" ht="15.75" customHeight="1">
      <c r="A273" s="127"/>
      <c r="B273" s="211"/>
      <c r="D273" s="211"/>
    </row>
    <row r="274" ht="15.75" customHeight="1">
      <c r="A274" s="127"/>
      <c r="B274" s="211"/>
      <c r="D274" s="211"/>
    </row>
    <row r="275" ht="15.75" customHeight="1">
      <c r="A275" s="127"/>
      <c r="B275" s="211"/>
      <c r="D275" s="211"/>
    </row>
    <row r="276" ht="15.75" customHeight="1">
      <c r="A276" s="127"/>
      <c r="B276" s="211"/>
      <c r="D276" s="211"/>
    </row>
    <row r="277" ht="15.75" customHeight="1">
      <c r="A277" s="127"/>
      <c r="B277" s="211"/>
      <c r="D277" s="211"/>
    </row>
    <row r="278" ht="15.75" customHeight="1">
      <c r="A278" s="127"/>
      <c r="B278" s="211"/>
      <c r="D278" s="211"/>
    </row>
    <row r="279" ht="15.75" customHeight="1">
      <c r="A279" s="127"/>
      <c r="B279" s="211"/>
      <c r="D279" s="211"/>
    </row>
    <row r="280" ht="15.75" customHeight="1">
      <c r="A280" s="127"/>
      <c r="B280" s="211"/>
      <c r="D280" s="211"/>
    </row>
    <row r="281" ht="15.75" customHeight="1">
      <c r="A281" s="127"/>
      <c r="B281" s="211"/>
      <c r="D281" s="211"/>
    </row>
    <row r="282" ht="15.75" customHeight="1">
      <c r="A282" s="127"/>
      <c r="B282" s="211"/>
      <c r="D282" s="211"/>
    </row>
    <row r="283" ht="15.75" customHeight="1">
      <c r="A283" s="127"/>
      <c r="B283" s="211"/>
      <c r="D283" s="211"/>
    </row>
    <row r="284" ht="15.75" customHeight="1">
      <c r="A284" s="127"/>
      <c r="B284" s="211"/>
      <c r="D284" s="211"/>
    </row>
    <row r="285" ht="15.75" customHeight="1">
      <c r="A285" s="127"/>
      <c r="B285" s="211"/>
      <c r="D285" s="211"/>
    </row>
    <row r="286" ht="15.75" customHeight="1">
      <c r="A286" s="127"/>
      <c r="B286" s="211"/>
      <c r="D286" s="211"/>
    </row>
    <row r="287" ht="15.75" customHeight="1">
      <c r="A287" s="127"/>
      <c r="B287" s="211"/>
      <c r="D287" s="211"/>
    </row>
    <row r="288" ht="15.75" customHeight="1">
      <c r="A288" s="127"/>
      <c r="B288" s="211"/>
      <c r="D288" s="211"/>
    </row>
    <row r="289" ht="15.75" customHeight="1">
      <c r="A289" s="127"/>
      <c r="B289" s="211"/>
      <c r="D289" s="211"/>
    </row>
    <row r="290" ht="15.75" customHeight="1">
      <c r="A290" s="127"/>
      <c r="B290" s="211"/>
      <c r="D290" s="211"/>
    </row>
    <row r="291" ht="15.75" customHeight="1">
      <c r="A291" s="127"/>
      <c r="B291" s="211"/>
      <c r="D291" s="211"/>
    </row>
    <row r="292" ht="15.75" customHeight="1">
      <c r="A292" s="127"/>
      <c r="B292" s="211"/>
      <c r="D292" s="211"/>
    </row>
    <row r="293" ht="15.75" customHeight="1">
      <c r="A293" s="127"/>
      <c r="B293" s="211"/>
      <c r="D293" s="211"/>
    </row>
    <row r="294" ht="15.75" customHeight="1">
      <c r="A294" s="127"/>
      <c r="B294" s="211"/>
      <c r="D294" s="211"/>
    </row>
    <row r="295" ht="15.75" customHeight="1">
      <c r="A295" s="127"/>
      <c r="B295" s="211"/>
      <c r="D295" s="211"/>
    </row>
    <row r="296" ht="15.75" customHeight="1">
      <c r="A296" s="127"/>
      <c r="B296" s="211"/>
      <c r="D296" s="211"/>
    </row>
    <row r="297" ht="15.75" customHeight="1">
      <c r="A297" s="127"/>
      <c r="B297" s="211"/>
      <c r="D297" s="211"/>
    </row>
    <row r="298" ht="15.75" customHeight="1">
      <c r="A298" s="127"/>
      <c r="B298" s="211"/>
      <c r="D298" s="211"/>
    </row>
    <row r="299" ht="15.75" customHeight="1">
      <c r="A299" s="127"/>
      <c r="B299" s="211"/>
      <c r="D299" s="211"/>
    </row>
    <row r="300" ht="15.75" customHeight="1">
      <c r="A300" s="127"/>
      <c r="B300" s="211"/>
      <c r="D300" s="211"/>
    </row>
    <row r="301" ht="15.75" customHeight="1">
      <c r="A301" s="127"/>
      <c r="B301" s="211"/>
      <c r="D301" s="211"/>
    </row>
    <row r="302" ht="15.75" customHeight="1">
      <c r="A302" s="127"/>
      <c r="B302" s="211"/>
      <c r="D302" s="211"/>
    </row>
    <row r="303" ht="15.75" customHeight="1">
      <c r="A303" s="127"/>
      <c r="B303" s="211"/>
      <c r="D303" s="211"/>
    </row>
    <row r="304" ht="15.75" customHeight="1">
      <c r="A304" s="127"/>
      <c r="B304" s="211"/>
      <c r="D304" s="211"/>
    </row>
    <row r="305" ht="15.75" customHeight="1">
      <c r="A305" s="127"/>
      <c r="B305" s="211"/>
      <c r="D305" s="211"/>
    </row>
    <row r="306" ht="15.75" customHeight="1">
      <c r="A306" s="127"/>
      <c r="B306" s="211"/>
      <c r="D306" s="211"/>
    </row>
    <row r="307" ht="15.75" customHeight="1">
      <c r="A307" s="127"/>
      <c r="B307" s="211"/>
      <c r="D307" s="211"/>
    </row>
    <row r="308" ht="15.75" customHeight="1">
      <c r="A308" s="127"/>
      <c r="B308" s="211"/>
      <c r="D308" s="211"/>
    </row>
    <row r="309" ht="15.75" customHeight="1">
      <c r="A309" s="127"/>
      <c r="B309" s="211"/>
      <c r="D309" s="211"/>
    </row>
    <row r="310" ht="15.75" customHeight="1">
      <c r="A310" s="127"/>
      <c r="B310" s="211"/>
      <c r="D310" s="211"/>
    </row>
    <row r="311" ht="15.75" customHeight="1">
      <c r="A311" s="127"/>
      <c r="B311" s="211"/>
      <c r="D311" s="211"/>
    </row>
    <row r="312" ht="15.75" customHeight="1">
      <c r="A312" s="127"/>
      <c r="B312" s="211"/>
      <c r="D312" s="211"/>
    </row>
    <row r="313" ht="15.75" customHeight="1">
      <c r="A313" s="127"/>
      <c r="B313" s="211"/>
      <c r="D313" s="211"/>
    </row>
    <row r="314" ht="15.75" customHeight="1">
      <c r="A314" s="127"/>
      <c r="B314" s="211"/>
      <c r="D314" s="211"/>
    </row>
    <row r="315" ht="15.75" customHeight="1">
      <c r="A315" s="127"/>
      <c r="B315" s="211"/>
      <c r="D315" s="211"/>
    </row>
    <row r="316" ht="15.75" customHeight="1">
      <c r="A316" s="127"/>
      <c r="B316" s="211"/>
      <c r="D316" s="211"/>
    </row>
    <row r="317" ht="15.75" customHeight="1">
      <c r="A317" s="127"/>
      <c r="B317" s="211"/>
      <c r="D317" s="211"/>
    </row>
    <row r="318" ht="15.75" customHeight="1">
      <c r="A318" s="127"/>
      <c r="B318" s="211"/>
      <c r="D318" s="211"/>
    </row>
    <row r="319" ht="15.75" customHeight="1">
      <c r="A319" s="127"/>
      <c r="B319" s="211"/>
      <c r="D319" s="211"/>
    </row>
    <row r="320" ht="15.75" customHeight="1">
      <c r="A320" s="127"/>
      <c r="B320" s="211"/>
      <c r="D320" s="211"/>
    </row>
    <row r="321" ht="15.75" customHeight="1">
      <c r="A321" s="127"/>
      <c r="B321" s="211"/>
      <c r="D321" s="211"/>
    </row>
    <row r="322" ht="15.75" customHeight="1">
      <c r="A322" s="127"/>
      <c r="B322" s="211"/>
      <c r="D322" s="211"/>
    </row>
    <row r="323" ht="15.75" customHeight="1">
      <c r="A323" s="127"/>
      <c r="B323" s="211"/>
      <c r="D323" s="211"/>
    </row>
    <row r="324" ht="15.75" customHeight="1">
      <c r="A324" s="127"/>
      <c r="B324" s="211"/>
      <c r="D324" s="211"/>
    </row>
    <row r="325" ht="15.75" customHeight="1">
      <c r="A325" s="127"/>
      <c r="B325" s="211"/>
      <c r="D325" s="211"/>
    </row>
    <row r="326" ht="15.75" customHeight="1">
      <c r="A326" s="127"/>
      <c r="B326" s="211"/>
      <c r="D326" s="211"/>
    </row>
    <row r="327" ht="15.75" customHeight="1">
      <c r="A327" s="127"/>
      <c r="B327" s="211"/>
      <c r="D327" s="211"/>
    </row>
    <row r="328" ht="15.75" customHeight="1">
      <c r="A328" s="127"/>
      <c r="B328" s="211"/>
      <c r="D328" s="211"/>
    </row>
    <row r="329" ht="15.75" customHeight="1">
      <c r="A329" s="127"/>
      <c r="B329" s="211"/>
      <c r="D329" s="211"/>
    </row>
    <row r="330" ht="15.75" customHeight="1">
      <c r="A330" s="127"/>
      <c r="B330" s="211"/>
      <c r="D330" s="211"/>
    </row>
    <row r="331" ht="15.75" customHeight="1">
      <c r="A331" s="127"/>
      <c r="B331" s="211"/>
      <c r="D331" s="211"/>
    </row>
    <row r="332" ht="15.75" customHeight="1">
      <c r="A332" s="127"/>
      <c r="B332" s="211"/>
      <c r="D332" s="211"/>
    </row>
    <row r="333" ht="15.75" customHeight="1">
      <c r="A333" s="127"/>
      <c r="B333" s="211"/>
      <c r="D333" s="211"/>
    </row>
    <row r="334" ht="15.75" customHeight="1">
      <c r="A334" s="127"/>
      <c r="B334" s="211"/>
      <c r="D334" s="211"/>
    </row>
    <row r="335" ht="15.75" customHeight="1">
      <c r="A335" s="127"/>
      <c r="B335" s="211"/>
      <c r="D335" s="211"/>
    </row>
    <row r="336" ht="15.75" customHeight="1">
      <c r="A336" s="127"/>
      <c r="B336" s="211"/>
      <c r="D336" s="211"/>
    </row>
    <row r="337" ht="15.75" customHeight="1">
      <c r="A337" s="127"/>
      <c r="B337" s="211"/>
      <c r="D337" s="211"/>
    </row>
    <row r="338" ht="15.75" customHeight="1">
      <c r="A338" s="127"/>
      <c r="B338" s="211"/>
      <c r="D338" s="211"/>
    </row>
    <row r="339" ht="15.75" customHeight="1">
      <c r="A339" s="127"/>
      <c r="B339" s="211"/>
      <c r="D339" s="211"/>
    </row>
    <row r="340" ht="15.75" customHeight="1">
      <c r="A340" s="127"/>
      <c r="B340" s="211"/>
      <c r="D340" s="211"/>
    </row>
    <row r="341" ht="15.75" customHeight="1">
      <c r="A341" s="127"/>
      <c r="B341" s="211"/>
      <c r="D341" s="211"/>
    </row>
    <row r="342" ht="15.75" customHeight="1">
      <c r="A342" s="127"/>
      <c r="B342" s="211"/>
      <c r="D342" s="211"/>
    </row>
    <row r="343" ht="15.75" customHeight="1">
      <c r="A343" s="127"/>
      <c r="B343" s="211"/>
      <c r="D343" s="211"/>
    </row>
    <row r="344" ht="15.75" customHeight="1">
      <c r="A344" s="127"/>
      <c r="B344" s="211"/>
      <c r="D344" s="211"/>
    </row>
    <row r="345" ht="15.75" customHeight="1">
      <c r="A345" s="127"/>
      <c r="B345" s="211"/>
      <c r="D345" s="211"/>
    </row>
    <row r="346" ht="15.75" customHeight="1">
      <c r="A346" s="127"/>
      <c r="B346" s="211"/>
      <c r="D346" s="211"/>
    </row>
    <row r="347" ht="15.75" customHeight="1">
      <c r="A347" s="127"/>
      <c r="B347" s="211"/>
      <c r="D347" s="211"/>
    </row>
    <row r="348" ht="15.75" customHeight="1">
      <c r="A348" s="127"/>
      <c r="B348" s="211"/>
      <c r="D348" s="211"/>
    </row>
    <row r="349" ht="15.75" customHeight="1">
      <c r="A349" s="127"/>
      <c r="B349" s="211"/>
      <c r="D349" s="211"/>
    </row>
    <row r="350" ht="15.75" customHeight="1">
      <c r="A350" s="127"/>
      <c r="B350" s="211"/>
      <c r="D350" s="211"/>
    </row>
    <row r="351" ht="15.75" customHeight="1">
      <c r="A351" s="127"/>
      <c r="B351" s="211"/>
      <c r="D351" s="211"/>
    </row>
    <row r="352" ht="15.75" customHeight="1">
      <c r="A352" s="127"/>
      <c r="B352" s="211"/>
      <c r="D352" s="211"/>
    </row>
    <row r="353" ht="15.75" customHeight="1">
      <c r="A353" s="127"/>
      <c r="B353" s="211"/>
      <c r="D353" s="211"/>
    </row>
    <row r="354" ht="15.75" customHeight="1">
      <c r="A354" s="127"/>
      <c r="B354" s="211"/>
      <c r="D354" s="211"/>
    </row>
    <row r="355" ht="15.75" customHeight="1">
      <c r="A355" s="127"/>
      <c r="B355" s="211"/>
      <c r="D355" s="211"/>
    </row>
    <row r="356" ht="15.75" customHeight="1">
      <c r="A356" s="127"/>
      <c r="B356" s="211"/>
      <c r="D356" s="211"/>
    </row>
    <row r="357" ht="15.75" customHeight="1">
      <c r="A357" s="127"/>
      <c r="B357" s="211"/>
      <c r="D357" s="211"/>
    </row>
    <row r="358" ht="15.75" customHeight="1">
      <c r="A358" s="127"/>
      <c r="B358" s="211"/>
      <c r="D358" s="211"/>
    </row>
    <row r="359" ht="15.75" customHeight="1">
      <c r="A359" s="127"/>
      <c r="B359" s="211"/>
      <c r="D359" s="211"/>
    </row>
    <row r="360" ht="15.75" customHeight="1">
      <c r="A360" s="127"/>
      <c r="B360" s="211"/>
      <c r="D360" s="211"/>
    </row>
    <row r="361" ht="15.75" customHeight="1">
      <c r="A361" s="127"/>
      <c r="B361" s="211"/>
      <c r="D361" s="211"/>
    </row>
    <row r="362" ht="15.75" customHeight="1">
      <c r="A362" s="127"/>
      <c r="B362" s="211"/>
      <c r="D362" s="211"/>
    </row>
    <row r="363" ht="15.75" customHeight="1">
      <c r="A363" s="127"/>
      <c r="B363" s="211"/>
      <c r="D363" s="211"/>
    </row>
    <row r="364" ht="15.75" customHeight="1">
      <c r="A364" s="127"/>
      <c r="B364" s="211"/>
      <c r="D364" s="211"/>
    </row>
    <row r="365" ht="15.75" customHeight="1">
      <c r="A365" s="127"/>
      <c r="B365" s="211"/>
      <c r="D365" s="211"/>
    </row>
    <row r="366" ht="15.75" customHeight="1">
      <c r="A366" s="127"/>
      <c r="B366" s="211"/>
      <c r="D366" s="211"/>
    </row>
    <row r="367" ht="15.75" customHeight="1">
      <c r="A367" s="127"/>
      <c r="B367" s="211"/>
      <c r="D367" s="211"/>
    </row>
    <row r="368" ht="15.75" customHeight="1">
      <c r="A368" s="127"/>
      <c r="B368" s="211"/>
      <c r="D368" s="211"/>
    </row>
    <row r="369" ht="15.75" customHeight="1">
      <c r="A369" s="127"/>
      <c r="B369" s="211"/>
      <c r="D369" s="211"/>
    </row>
    <row r="370" ht="15.75" customHeight="1">
      <c r="A370" s="127"/>
      <c r="B370" s="211"/>
      <c r="D370" s="211"/>
    </row>
    <row r="371" ht="15.75" customHeight="1">
      <c r="A371" s="127"/>
      <c r="B371" s="211"/>
      <c r="D371" s="211"/>
    </row>
    <row r="372" ht="15.75" customHeight="1">
      <c r="A372" s="127"/>
      <c r="B372" s="211"/>
      <c r="D372" s="211"/>
    </row>
    <row r="373" ht="15.75" customHeight="1">
      <c r="A373" s="127"/>
      <c r="B373" s="211"/>
      <c r="D373" s="211"/>
    </row>
    <row r="374" ht="15.75" customHeight="1">
      <c r="A374" s="127"/>
      <c r="B374" s="211"/>
      <c r="D374" s="211"/>
    </row>
    <row r="375" ht="15.75" customHeight="1">
      <c r="A375" s="127"/>
      <c r="B375" s="211"/>
      <c r="D375" s="211"/>
    </row>
    <row r="376" ht="15.75" customHeight="1">
      <c r="A376" s="127"/>
      <c r="B376" s="211"/>
      <c r="D376" s="211"/>
    </row>
    <row r="377" ht="15.75" customHeight="1">
      <c r="A377" s="127"/>
      <c r="B377" s="211"/>
      <c r="D377" s="211"/>
    </row>
    <row r="378" ht="15.75" customHeight="1">
      <c r="A378" s="127"/>
      <c r="B378" s="211"/>
      <c r="D378" s="211"/>
    </row>
    <row r="379" ht="15.75" customHeight="1">
      <c r="A379" s="127"/>
      <c r="B379" s="211"/>
      <c r="D379" s="211"/>
    </row>
    <row r="380" ht="15.75" customHeight="1">
      <c r="A380" s="127"/>
      <c r="B380" s="211"/>
      <c r="D380" s="211"/>
    </row>
    <row r="381" ht="15.75" customHeight="1">
      <c r="A381" s="127"/>
      <c r="B381" s="211"/>
      <c r="D381" s="211"/>
    </row>
    <row r="382" ht="15.75" customHeight="1">
      <c r="A382" s="127"/>
      <c r="B382" s="211"/>
      <c r="D382" s="211"/>
    </row>
    <row r="383" ht="15.75" customHeight="1">
      <c r="A383" s="127"/>
      <c r="B383" s="211"/>
      <c r="D383" s="211"/>
    </row>
    <row r="384" ht="15.75" customHeight="1">
      <c r="A384" s="127"/>
      <c r="B384" s="211"/>
      <c r="D384" s="211"/>
    </row>
    <row r="385" ht="15.75" customHeight="1">
      <c r="A385" s="127"/>
      <c r="B385" s="211"/>
      <c r="D385" s="211"/>
    </row>
    <row r="386" ht="15.75" customHeight="1">
      <c r="A386" s="127"/>
      <c r="B386" s="211"/>
      <c r="D386" s="211"/>
    </row>
    <row r="387" ht="15.75" customHeight="1">
      <c r="A387" s="127"/>
      <c r="B387" s="211"/>
      <c r="D387" s="211"/>
    </row>
    <row r="388" ht="15.75" customHeight="1">
      <c r="A388" s="127"/>
      <c r="B388" s="211"/>
      <c r="D388" s="211"/>
    </row>
    <row r="389" ht="15.75" customHeight="1">
      <c r="A389" s="127"/>
      <c r="B389" s="211"/>
      <c r="D389" s="211"/>
    </row>
    <row r="390" ht="15.75" customHeight="1">
      <c r="A390" s="127"/>
      <c r="B390" s="211"/>
      <c r="D390" s="211"/>
    </row>
    <row r="391" ht="15.75" customHeight="1">
      <c r="A391" s="127"/>
      <c r="B391" s="211"/>
      <c r="D391" s="211"/>
    </row>
    <row r="392" ht="15.75" customHeight="1">
      <c r="A392" s="127"/>
      <c r="B392" s="211"/>
      <c r="D392" s="211"/>
    </row>
    <row r="393" ht="15.75" customHeight="1">
      <c r="A393" s="127"/>
      <c r="B393" s="211"/>
      <c r="D393" s="211"/>
    </row>
    <row r="394" ht="15.75" customHeight="1">
      <c r="A394" s="127"/>
      <c r="B394" s="211"/>
      <c r="D394" s="211"/>
    </row>
    <row r="395" ht="15.75" customHeight="1">
      <c r="A395" s="127"/>
      <c r="B395" s="211"/>
      <c r="D395" s="211"/>
    </row>
    <row r="396" ht="15.75" customHeight="1">
      <c r="A396" s="127"/>
      <c r="B396" s="211"/>
      <c r="D396" s="211"/>
    </row>
    <row r="397" ht="15.75" customHeight="1">
      <c r="A397" s="127"/>
      <c r="B397" s="211"/>
      <c r="D397" s="211"/>
    </row>
    <row r="398" ht="15.75" customHeight="1">
      <c r="A398" s="127"/>
      <c r="B398" s="211"/>
      <c r="D398" s="211"/>
    </row>
    <row r="399" ht="15.75" customHeight="1">
      <c r="A399" s="127"/>
      <c r="B399" s="211"/>
      <c r="D399" s="211"/>
    </row>
    <row r="400" ht="15.75" customHeight="1">
      <c r="A400" s="127"/>
      <c r="B400" s="211"/>
      <c r="D400" s="211"/>
    </row>
    <row r="401" ht="15.75" customHeight="1">
      <c r="A401" s="127"/>
      <c r="B401" s="211"/>
      <c r="D401" s="211"/>
    </row>
    <row r="402" ht="15.75" customHeight="1">
      <c r="A402" s="127"/>
      <c r="B402" s="211"/>
      <c r="D402" s="211"/>
    </row>
    <row r="403" ht="15.75" customHeight="1">
      <c r="A403" s="127"/>
      <c r="B403" s="211"/>
      <c r="D403" s="211"/>
    </row>
    <row r="404" ht="15.75" customHeight="1">
      <c r="A404" s="127"/>
      <c r="B404" s="211"/>
      <c r="D404" s="211"/>
    </row>
    <row r="405" ht="15.75" customHeight="1">
      <c r="A405" s="127"/>
      <c r="B405" s="211"/>
      <c r="D405" s="211"/>
    </row>
    <row r="406" ht="15.75" customHeight="1">
      <c r="A406" s="127"/>
      <c r="B406" s="211"/>
      <c r="D406" s="211"/>
    </row>
    <row r="407" ht="15.75" customHeight="1">
      <c r="A407" s="127"/>
      <c r="B407" s="211"/>
      <c r="D407" s="211"/>
    </row>
    <row r="408" ht="15.75" customHeight="1">
      <c r="A408" s="127"/>
      <c r="B408" s="211"/>
      <c r="D408" s="211"/>
    </row>
    <row r="409" ht="15.75" customHeight="1">
      <c r="A409" s="127"/>
      <c r="B409" s="211"/>
      <c r="D409" s="211"/>
    </row>
    <row r="410" ht="15.75" customHeight="1">
      <c r="A410" s="127"/>
      <c r="B410" s="211"/>
      <c r="D410" s="211"/>
    </row>
    <row r="411" ht="15.75" customHeight="1">
      <c r="A411" s="127"/>
      <c r="B411" s="211"/>
      <c r="D411" s="211"/>
    </row>
    <row r="412" ht="15.75" customHeight="1">
      <c r="A412" s="127"/>
      <c r="B412" s="211"/>
      <c r="D412" s="211"/>
    </row>
    <row r="413" ht="15.75" customHeight="1">
      <c r="A413" s="127"/>
      <c r="B413" s="211"/>
      <c r="D413" s="211"/>
    </row>
    <row r="414" ht="15.75" customHeight="1">
      <c r="A414" s="127"/>
      <c r="B414" s="211"/>
      <c r="D414" s="211"/>
    </row>
    <row r="415" ht="15.75" customHeight="1">
      <c r="A415" s="127"/>
      <c r="B415" s="211"/>
      <c r="D415" s="211"/>
    </row>
    <row r="416" ht="15.75" customHeight="1">
      <c r="A416" s="127"/>
      <c r="B416" s="211"/>
      <c r="D416" s="211"/>
    </row>
    <row r="417" ht="15.75" customHeight="1">
      <c r="A417" s="127"/>
      <c r="B417" s="211"/>
      <c r="D417" s="211"/>
    </row>
    <row r="418" ht="15.75" customHeight="1">
      <c r="A418" s="127"/>
      <c r="B418" s="211"/>
      <c r="D418" s="211"/>
    </row>
    <row r="419" ht="15.75" customHeight="1">
      <c r="A419" s="127"/>
      <c r="B419" s="211"/>
      <c r="D419" s="211"/>
    </row>
    <row r="420" ht="15.75" customHeight="1">
      <c r="A420" s="127"/>
      <c r="B420" s="211"/>
      <c r="D420" s="211"/>
    </row>
    <row r="421" ht="15.75" customHeight="1">
      <c r="A421" s="127"/>
      <c r="B421" s="211"/>
      <c r="D421" s="211"/>
    </row>
    <row r="422" ht="15.75" customHeight="1">
      <c r="A422" s="127"/>
      <c r="B422" s="211"/>
      <c r="D422" s="211"/>
    </row>
    <row r="423" ht="15.75" customHeight="1">
      <c r="A423" s="127"/>
      <c r="B423" s="211"/>
      <c r="D423" s="211"/>
    </row>
    <row r="424" ht="15.75" customHeight="1">
      <c r="A424" s="127"/>
      <c r="B424" s="211"/>
      <c r="D424" s="211"/>
    </row>
    <row r="425" ht="15.75" customHeight="1">
      <c r="A425" s="127"/>
      <c r="B425" s="211"/>
      <c r="D425" s="211"/>
    </row>
    <row r="426" ht="15.75" customHeight="1">
      <c r="A426" s="127"/>
      <c r="B426" s="211"/>
      <c r="D426" s="211"/>
    </row>
    <row r="427" ht="15.75" customHeight="1">
      <c r="A427" s="127"/>
      <c r="B427" s="211"/>
      <c r="D427" s="211"/>
    </row>
    <row r="428" ht="15.75" customHeight="1">
      <c r="A428" s="127"/>
      <c r="B428" s="211"/>
      <c r="D428" s="211"/>
    </row>
    <row r="429" ht="15.75" customHeight="1">
      <c r="A429" s="127"/>
      <c r="B429" s="211"/>
      <c r="D429" s="211"/>
    </row>
    <row r="430" ht="15.75" customHeight="1">
      <c r="A430" s="127"/>
      <c r="B430" s="211"/>
      <c r="D430" s="211"/>
    </row>
    <row r="431" ht="15.75" customHeight="1">
      <c r="A431" s="127"/>
      <c r="B431" s="211"/>
      <c r="D431" s="211"/>
    </row>
    <row r="432" ht="15.75" customHeight="1">
      <c r="A432" s="127"/>
      <c r="B432" s="211"/>
      <c r="D432" s="211"/>
    </row>
    <row r="433" ht="15.75" customHeight="1">
      <c r="A433" s="127"/>
      <c r="B433" s="211"/>
      <c r="D433" s="211"/>
    </row>
    <row r="434" ht="15.75" customHeight="1">
      <c r="A434" s="127"/>
      <c r="B434" s="211"/>
      <c r="D434" s="211"/>
    </row>
    <row r="435" ht="15.75" customHeight="1">
      <c r="A435" s="127"/>
      <c r="B435" s="211"/>
      <c r="D435" s="211"/>
    </row>
    <row r="436" ht="15.75" customHeight="1">
      <c r="A436" s="127"/>
      <c r="B436" s="211"/>
      <c r="D436" s="211"/>
    </row>
    <row r="437" ht="15.75" customHeight="1">
      <c r="A437" s="127"/>
      <c r="B437" s="211"/>
      <c r="D437" s="211"/>
    </row>
    <row r="438" ht="15.75" customHeight="1">
      <c r="A438" s="127"/>
      <c r="B438" s="211"/>
      <c r="D438" s="211"/>
    </row>
    <row r="439" ht="15.75" customHeight="1">
      <c r="A439" s="127"/>
      <c r="B439" s="211"/>
      <c r="D439" s="211"/>
    </row>
    <row r="440" ht="15.75" customHeight="1">
      <c r="A440" s="127"/>
      <c r="B440" s="211"/>
      <c r="D440" s="211"/>
    </row>
    <row r="441" ht="15.75" customHeight="1">
      <c r="A441" s="127"/>
      <c r="B441" s="211"/>
      <c r="D441" s="211"/>
    </row>
    <row r="442" ht="15.75" customHeight="1">
      <c r="A442" s="127"/>
      <c r="B442" s="211"/>
      <c r="D442" s="211"/>
    </row>
    <row r="443" ht="15.75" customHeight="1">
      <c r="A443" s="127"/>
      <c r="B443" s="211"/>
      <c r="D443" s="211"/>
    </row>
    <row r="444" ht="15.75" customHeight="1">
      <c r="A444" s="127"/>
      <c r="B444" s="211"/>
      <c r="D444" s="211"/>
    </row>
    <row r="445" ht="15.75" customHeight="1">
      <c r="A445" s="127"/>
      <c r="B445" s="211"/>
      <c r="D445" s="211"/>
    </row>
    <row r="446" ht="15.75" customHeight="1">
      <c r="A446" s="127"/>
      <c r="B446" s="211"/>
      <c r="D446" s="211"/>
    </row>
    <row r="447" ht="15.75" customHeight="1">
      <c r="A447" s="127"/>
      <c r="B447" s="211"/>
      <c r="D447" s="211"/>
    </row>
    <row r="448" ht="15.75" customHeight="1">
      <c r="A448" s="127"/>
      <c r="B448" s="211"/>
      <c r="D448" s="211"/>
    </row>
    <row r="449" ht="15.75" customHeight="1">
      <c r="A449" s="127"/>
      <c r="B449" s="211"/>
      <c r="D449" s="211"/>
    </row>
    <row r="450" ht="15.75" customHeight="1">
      <c r="A450" s="127"/>
      <c r="B450" s="211"/>
      <c r="D450" s="211"/>
    </row>
    <row r="451" ht="15.75" customHeight="1">
      <c r="A451" s="127"/>
      <c r="B451" s="211"/>
      <c r="D451" s="211"/>
    </row>
    <row r="452" ht="15.75" customHeight="1">
      <c r="A452" s="127"/>
      <c r="B452" s="211"/>
      <c r="D452" s="211"/>
    </row>
    <row r="453" ht="15.75" customHeight="1">
      <c r="A453" s="127"/>
      <c r="B453" s="211"/>
      <c r="D453" s="211"/>
    </row>
    <row r="454" ht="15.75" customHeight="1">
      <c r="A454" s="127"/>
      <c r="B454" s="211"/>
      <c r="D454" s="211"/>
    </row>
    <row r="455" ht="15.75" customHeight="1">
      <c r="A455" s="127"/>
      <c r="B455" s="211"/>
      <c r="D455" s="211"/>
    </row>
    <row r="456" ht="15.75" customHeight="1">
      <c r="A456" s="127"/>
      <c r="B456" s="211"/>
      <c r="D456" s="211"/>
    </row>
    <row r="457" ht="15.75" customHeight="1">
      <c r="A457" s="127"/>
      <c r="B457" s="211"/>
      <c r="D457" s="211"/>
    </row>
    <row r="458" ht="15.75" customHeight="1">
      <c r="A458" s="127"/>
      <c r="B458" s="211"/>
      <c r="D458" s="211"/>
    </row>
    <row r="459" ht="15.75" customHeight="1">
      <c r="A459" s="127"/>
      <c r="B459" s="211"/>
      <c r="D459" s="211"/>
    </row>
    <row r="460" ht="15.75" customHeight="1">
      <c r="A460" s="127"/>
      <c r="B460" s="211"/>
      <c r="D460" s="211"/>
    </row>
    <row r="461" ht="15.75" customHeight="1">
      <c r="A461" s="127"/>
      <c r="B461" s="211"/>
      <c r="D461" s="211"/>
    </row>
    <row r="462" ht="15.75" customHeight="1">
      <c r="A462" s="127"/>
      <c r="B462" s="211"/>
      <c r="D462" s="211"/>
    </row>
    <row r="463" ht="15.75" customHeight="1">
      <c r="A463" s="127"/>
      <c r="B463" s="211"/>
      <c r="D463" s="211"/>
    </row>
    <row r="464" ht="15.75" customHeight="1">
      <c r="A464" s="127"/>
      <c r="B464" s="211"/>
      <c r="D464" s="211"/>
    </row>
    <row r="465" ht="15.75" customHeight="1">
      <c r="A465" s="127"/>
      <c r="B465" s="211"/>
      <c r="D465" s="211"/>
    </row>
    <row r="466" ht="15.75" customHeight="1">
      <c r="A466" s="127"/>
      <c r="B466" s="211"/>
      <c r="D466" s="211"/>
    </row>
    <row r="467" ht="15.75" customHeight="1">
      <c r="A467" s="127"/>
      <c r="B467" s="211"/>
      <c r="D467" s="211"/>
    </row>
    <row r="468" ht="15.75" customHeight="1">
      <c r="A468" s="127"/>
      <c r="B468" s="211"/>
      <c r="D468" s="211"/>
    </row>
    <row r="469" ht="15.75" customHeight="1">
      <c r="A469" s="127"/>
      <c r="B469" s="211"/>
      <c r="D469" s="211"/>
    </row>
    <row r="470" ht="15.75" customHeight="1">
      <c r="A470" s="127"/>
      <c r="B470" s="211"/>
      <c r="D470" s="211"/>
    </row>
    <row r="471" ht="15.75" customHeight="1">
      <c r="A471" s="127"/>
      <c r="B471" s="211"/>
      <c r="D471" s="211"/>
    </row>
    <row r="472" ht="15.75" customHeight="1">
      <c r="A472" s="127"/>
      <c r="B472" s="211"/>
      <c r="D472" s="211"/>
    </row>
    <row r="473" ht="15.75" customHeight="1">
      <c r="A473" s="127"/>
      <c r="B473" s="211"/>
      <c r="D473" s="211"/>
    </row>
    <row r="474" ht="15.75" customHeight="1">
      <c r="A474" s="127"/>
      <c r="B474" s="211"/>
      <c r="D474" s="211"/>
    </row>
    <row r="475" ht="15.75" customHeight="1">
      <c r="A475" s="127"/>
      <c r="B475" s="211"/>
      <c r="D475" s="211"/>
    </row>
    <row r="476" ht="15.75" customHeight="1">
      <c r="A476" s="127"/>
      <c r="B476" s="211"/>
      <c r="D476" s="211"/>
    </row>
    <row r="477" ht="15.75" customHeight="1">
      <c r="A477" s="127"/>
      <c r="B477" s="211"/>
      <c r="D477" s="211"/>
    </row>
    <row r="478" ht="15.75" customHeight="1">
      <c r="A478" s="127"/>
      <c r="B478" s="211"/>
      <c r="D478" s="211"/>
    </row>
    <row r="479" ht="15.75" customHeight="1">
      <c r="A479" s="127"/>
      <c r="B479" s="211"/>
      <c r="D479" s="211"/>
    </row>
    <row r="480" ht="15.75" customHeight="1">
      <c r="A480" s="127"/>
      <c r="B480" s="211"/>
      <c r="D480" s="211"/>
    </row>
    <row r="481" ht="15.75" customHeight="1">
      <c r="A481" s="127"/>
      <c r="B481" s="211"/>
      <c r="D481" s="211"/>
    </row>
    <row r="482" ht="15.75" customHeight="1">
      <c r="A482" s="127"/>
      <c r="B482" s="211"/>
      <c r="D482" s="211"/>
    </row>
    <row r="483" ht="15.75" customHeight="1">
      <c r="A483" s="127"/>
      <c r="B483" s="211"/>
      <c r="D483" s="211"/>
    </row>
    <row r="484" ht="15.75" customHeight="1">
      <c r="A484" s="127"/>
      <c r="B484" s="211"/>
      <c r="D484" s="211"/>
    </row>
    <row r="485" ht="15.75" customHeight="1">
      <c r="A485" s="127"/>
      <c r="B485" s="211"/>
      <c r="D485" s="211"/>
    </row>
    <row r="486" ht="15.75" customHeight="1">
      <c r="A486" s="127"/>
      <c r="B486" s="211"/>
      <c r="D486" s="211"/>
    </row>
    <row r="487" ht="15.75" customHeight="1">
      <c r="A487" s="127"/>
      <c r="B487" s="211"/>
      <c r="D487" s="211"/>
    </row>
    <row r="488" ht="15.75" customHeight="1">
      <c r="A488" s="127"/>
      <c r="B488" s="211"/>
      <c r="D488" s="211"/>
    </row>
    <row r="489" ht="15.75" customHeight="1">
      <c r="A489" s="127"/>
      <c r="B489" s="211"/>
      <c r="D489" s="211"/>
    </row>
    <row r="490" ht="15.75" customHeight="1">
      <c r="A490" s="127"/>
      <c r="B490" s="211"/>
      <c r="D490" s="211"/>
    </row>
    <row r="491" ht="15.75" customHeight="1">
      <c r="A491" s="127"/>
      <c r="B491" s="211"/>
      <c r="D491" s="211"/>
    </row>
    <row r="492" ht="15.75" customHeight="1">
      <c r="A492" s="127"/>
      <c r="B492" s="211"/>
      <c r="D492" s="211"/>
    </row>
    <row r="493" ht="15.75" customHeight="1">
      <c r="A493" s="127"/>
      <c r="B493" s="211"/>
      <c r="D493" s="211"/>
    </row>
    <row r="494" ht="15.75" customHeight="1">
      <c r="A494" s="127"/>
      <c r="B494" s="211"/>
      <c r="D494" s="211"/>
    </row>
    <row r="495" ht="15.75" customHeight="1">
      <c r="A495" s="127"/>
      <c r="B495" s="211"/>
      <c r="D495" s="211"/>
    </row>
    <row r="496" ht="15.75" customHeight="1">
      <c r="A496" s="127"/>
      <c r="B496" s="211"/>
      <c r="D496" s="211"/>
    </row>
    <row r="497" ht="15.75" customHeight="1">
      <c r="A497" s="127"/>
      <c r="B497" s="211"/>
      <c r="D497" s="211"/>
    </row>
    <row r="498" ht="15.75" customHeight="1">
      <c r="A498" s="127"/>
      <c r="B498" s="211"/>
      <c r="D498" s="211"/>
    </row>
    <row r="499" ht="15.75" customHeight="1">
      <c r="A499" s="127"/>
      <c r="B499" s="211"/>
      <c r="D499" s="211"/>
    </row>
    <row r="500" ht="15.75" customHeight="1">
      <c r="A500" s="127"/>
      <c r="B500" s="211"/>
      <c r="D500" s="211"/>
    </row>
    <row r="501" ht="15.75" customHeight="1">
      <c r="A501" s="127"/>
      <c r="B501" s="211"/>
      <c r="D501" s="211"/>
    </row>
    <row r="502" ht="15.75" customHeight="1">
      <c r="A502" s="127"/>
      <c r="B502" s="211"/>
      <c r="D502" s="211"/>
    </row>
    <row r="503" ht="15.75" customHeight="1">
      <c r="A503" s="127"/>
      <c r="B503" s="211"/>
      <c r="D503" s="211"/>
    </row>
    <row r="504" ht="15.75" customHeight="1">
      <c r="A504" s="127"/>
      <c r="B504" s="211"/>
      <c r="D504" s="211"/>
    </row>
    <row r="505" ht="15.75" customHeight="1">
      <c r="A505" s="127"/>
      <c r="B505" s="211"/>
      <c r="D505" s="211"/>
    </row>
    <row r="506" ht="15.75" customHeight="1">
      <c r="A506" s="127"/>
      <c r="B506" s="211"/>
      <c r="D506" s="211"/>
    </row>
    <row r="507" ht="15.75" customHeight="1">
      <c r="A507" s="127"/>
      <c r="B507" s="211"/>
      <c r="D507" s="211"/>
    </row>
    <row r="508" ht="15.75" customHeight="1">
      <c r="A508" s="127"/>
      <c r="B508" s="211"/>
      <c r="D508" s="211"/>
    </row>
    <row r="509" ht="15.75" customHeight="1">
      <c r="A509" s="127"/>
      <c r="B509" s="211"/>
      <c r="D509" s="211"/>
    </row>
    <row r="510" ht="15.75" customHeight="1">
      <c r="A510" s="127"/>
      <c r="B510" s="211"/>
      <c r="D510" s="211"/>
    </row>
    <row r="511" ht="15.75" customHeight="1">
      <c r="A511" s="127"/>
      <c r="B511" s="211"/>
      <c r="D511" s="211"/>
    </row>
    <row r="512" ht="15.75" customHeight="1">
      <c r="A512" s="127"/>
      <c r="B512" s="211"/>
      <c r="D512" s="211"/>
    </row>
    <row r="513" ht="15.75" customHeight="1">
      <c r="A513" s="127"/>
      <c r="B513" s="211"/>
      <c r="D513" s="211"/>
    </row>
    <row r="514" ht="15.75" customHeight="1">
      <c r="A514" s="127"/>
      <c r="B514" s="211"/>
      <c r="D514" s="211"/>
    </row>
    <row r="515" ht="15.75" customHeight="1">
      <c r="A515" s="127"/>
      <c r="B515" s="211"/>
      <c r="D515" s="211"/>
    </row>
    <row r="516" ht="15.75" customHeight="1">
      <c r="A516" s="127"/>
      <c r="B516" s="211"/>
      <c r="D516" s="211"/>
    </row>
    <row r="517" ht="15.75" customHeight="1">
      <c r="A517" s="127"/>
      <c r="B517" s="211"/>
      <c r="D517" s="211"/>
    </row>
    <row r="518" ht="15.75" customHeight="1">
      <c r="A518" s="127"/>
      <c r="B518" s="211"/>
      <c r="D518" s="211"/>
    </row>
    <row r="519" ht="15.75" customHeight="1">
      <c r="A519" s="127"/>
      <c r="B519" s="211"/>
      <c r="D519" s="211"/>
    </row>
    <row r="520" ht="15.75" customHeight="1">
      <c r="A520" s="127"/>
      <c r="B520" s="211"/>
      <c r="D520" s="211"/>
    </row>
    <row r="521" ht="15.75" customHeight="1">
      <c r="A521" s="127"/>
      <c r="B521" s="211"/>
      <c r="D521" s="211"/>
    </row>
    <row r="522" ht="15.75" customHeight="1">
      <c r="A522" s="127"/>
      <c r="B522" s="211"/>
      <c r="D522" s="211"/>
    </row>
    <row r="523" ht="15.75" customHeight="1">
      <c r="A523" s="127"/>
      <c r="B523" s="211"/>
      <c r="D523" s="211"/>
    </row>
    <row r="524" ht="15.75" customHeight="1">
      <c r="A524" s="127"/>
      <c r="B524" s="211"/>
      <c r="D524" s="211"/>
    </row>
    <row r="525" ht="15.75" customHeight="1">
      <c r="A525" s="127"/>
      <c r="B525" s="211"/>
      <c r="D525" s="211"/>
    </row>
    <row r="526" ht="15.75" customHeight="1">
      <c r="A526" s="127"/>
      <c r="B526" s="211"/>
      <c r="D526" s="211"/>
    </row>
    <row r="527" ht="15.75" customHeight="1">
      <c r="A527" s="127"/>
      <c r="B527" s="211"/>
      <c r="D527" s="211"/>
    </row>
    <row r="528" ht="15.75" customHeight="1">
      <c r="A528" s="127"/>
      <c r="B528" s="211"/>
      <c r="D528" s="211"/>
    </row>
    <row r="529" ht="15.75" customHeight="1">
      <c r="A529" s="127"/>
      <c r="B529" s="211"/>
      <c r="D529" s="211"/>
    </row>
    <row r="530" ht="15.75" customHeight="1">
      <c r="A530" s="127"/>
      <c r="B530" s="211"/>
      <c r="D530" s="211"/>
    </row>
    <row r="531" ht="15.75" customHeight="1">
      <c r="A531" s="127"/>
      <c r="B531" s="211"/>
      <c r="D531" s="211"/>
    </row>
    <row r="532" ht="15.75" customHeight="1">
      <c r="A532" s="127"/>
      <c r="B532" s="211"/>
      <c r="D532" s="211"/>
    </row>
    <row r="533" ht="15.75" customHeight="1">
      <c r="A533" s="127"/>
      <c r="B533" s="211"/>
      <c r="D533" s="211"/>
    </row>
    <row r="534" ht="15.75" customHeight="1">
      <c r="A534" s="127"/>
      <c r="B534" s="211"/>
      <c r="D534" s="211"/>
    </row>
    <row r="535" ht="15.75" customHeight="1">
      <c r="A535" s="127"/>
      <c r="B535" s="211"/>
      <c r="D535" s="211"/>
    </row>
    <row r="536" ht="15.75" customHeight="1">
      <c r="A536" s="127"/>
      <c r="B536" s="211"/>
      <c r="D536" s="211"/>
    </row>
    <row r="537" ht="15.75" customHeight="1">
      <c r="A537" s="127"/>
      <c r="B537" s="211"/>
      <c r="D537" s="211"/>
    </row>
    <row r="538" ht="15.75" customHeight="1">
      <c r="A538" s="127"/>
      <c r="B538" s="211"/>
      <c r="D538" s="211"/>
    </row>
    <row r="539" ht="15.75" customHeight="1">
      <c r="A539" s="127"/>
      <c r="B539" s="211"/>
      <c r="D539" s="211"/>
    </row>
    <row r="540" ht="15.75" customHeight="1">
      <c r="A540" s="127"/>
      <c r="B540" s="211"/>
      <c r="D540" s="211"/>
    </row>
    <row r="541" ht="15.75" customHeight="1">
      <c r="A541" s="127"/>
      <c r="B541" s="211"/>
      <c r="D541" s="211"/>
    </row>
    <row r="542" ht="15.75" customHeight="1">
      <c r="A542" s="127"/>
      <c r="B542" s="211"/>
      <c r="D542" s="211"/>
    </row>
    <row r="543" ht="15.75" customHeight="1">
      <c r="A543" s="127"/>
      <c r="B543" s="211"/>
      <c r="D543" s="211"/>
    </row>
    <row r="544" ht="15.75" customHeight="1">
      <c r="A544" s="127"/>
      <c r="B544" s="211"/>
      <c r="D544" s="211"/>
    </row>
    <row r="545" ht="15.75" customHeight="1">
      <c r="A545" s="127"/>
      <c r="B545" s="211"/>
      <c r="D545" s="211"/>
    </row>
    <row r="546" ht="15.75" customHeight="1">
      <c r="A546" s="127"/>
      <c r="B546" s="211"/>
      <c r="D546" s="211"/>
    </row>
    <row r="547" ht="15.75" customHeight="1">
      <c r="A547" s="127"/>
      <c r="B547" s="211"/>
      <c r="D547" s="211"/>
    </row>
    <row r="548" ht="15.75" customHeight="1">
      <c r="A548" s="127"/>
      <c r="B548" s="211"/>
      <c r="D548" s="211"/>
    </row>
    <row r="549" ht="15.75" customHeight="1">
      <c r="A549" s="127"/>
      <c r="B549" s="211"/>
      <c r="D549" s="211"/>
    </row>
    <row r="550" ht="15.75" customHeight="1">
      <c r="A550" s="127"/>
      <c r="B550" s="211"/>
      <c r="D550" s="211"/>
    </row>
    <row r="551" ht="15.75" customHeight="1">
      <c r="A551" s="127"/>
      <c r="B551" s="211"/>
      <c r="D551" s="211"/>
    </row>
    <row r="552" ht="15.75" customHeight="1">
      <c r="A552" s="127"/>
      <c r="B552" s="211"/>
      <c r="D552" s="211"/>
    </row>
    <row r="553" ht="15.75" customHeight="1">
      <c r="A553" s="127"/>
      <c r="B553" s="211"/>
      <c r="D553" s="211"/>
    </row>
    <row r="554" ht="15.75" customHeight="1">
      <c r="A554" s="127"/>
      <c r="B554" s="211"/>
      <c r="D554" s="211"/>
    </row>
    <row r="555" ht="15.75" customHeight="1">
      <c r="A555" s="127"/>
      <c r="B555" s="211"/>
      <c r="D555" s="211"/>
    </row>
    <row r="556" ht="15.75" customHeight="1">
      <c r="A556" s="127"/>
      <c r="B556" s="211"/>
      <c r="D556" s="211"/>
    </row>
    <row r="557" ht="15.75" customHeight="1">
      <c r="A557" s="127"/>
      <c r="B557" s="211"/>
      <c r="D557" s="211"/>
    </row>
    <row r="558" ht="15.75" customHeight="1">
      <c r="A558" s="127"/>
      <c r="B558" s="211"/>
      <c r="D558" s="211"/>
    </row>
    <row r="559" ht="15.75" customHeight="1">
      <c r="A559" s="127"/>
      <c r="B559" s="211"/>
      <c r="D559" s="211"/>
    </row>
    <row r="560" ht="15.75" customHeight="1">
      <c r="A560" s="127"/>
      <c r="B560" s="211"/>
      <c r="D560" s="211"/>
    </row>
    <row r="561" ht="15.75" customHeight="1">
      <c r="A561" s="127"/>
      <c r="B561" s="211"/>
      <c r="D561" s="211"/>
    </row>
    <row r="562" ht="15.75" customHeight="1">
      <c r="A562" s="127"/>
      <c r="B562" s="211"/>
      <c r="D562" s="211"/>
    </row>
    <row r="563" ht="15.75" customHeight="1">
      <c r="A563" s="127"/>
      <c r="B563" s="211"/>
      <c r="D563" s="211"/>
    </row>
    <row r="564" ht="15.75" customHeight="1">
      <c r="A564" s="127"/>
      <c r="B564" s="211"/>
      <c r="D564" s="211"/>
    </row>
    <row r="565" ht="15.75" customHeight="1">
      <c r="A565" s="127"/>
      <c r="B565" s="211"/>
      <c r="D565" s="211"/>
    </row>
    <row r="566" ht="15.75" customHeight="1">
      <c r="A566" s="127"/>
      <c r="B566" s="211"/>
      <c r="D566" s="211"/>
    </row>
    <row r="567" ht="15.75" customHeight="1">
      <c r="A567" s="127"/>
      <c r="B567" s="211"/>
      <c r="D567" s="211"/>
    </row>
    <row r="568" ht="15.75" customHeight="1">
      <c r="A568" s="127"/>
      <c r="B568" s="211"/>
      <c r="D568" s="211"/>
    </row>
    <row r="569" ht="15.75" customHeight="1">
      <c r="A569" s="127"/>
      <c r="B569" s="211"/>
      <c r="D569" s="211"/>
    </row>
    <row r="570" ht="15.75" customHeight="1">
      <c r="A570" s="127"/>
      <c r="B570" s="211"/>
      <c r="D570" s="211"/>
    </row>
    <row r="571" ht="15.75" customHeight="1">
      <c r="A571" s="127"/>
      <c r="B571" s="211"/>
      <c r="D571" s="211"/>
    </row>
    <row r="572" ht="15.75" customHeight="1">
      <c r="A572" s="127"/>
      <c r="B572" s="211"/>
      <c r="D572" s="211"/>
    </row>
    <row r="573" ht="15.75" customHeight="1">
      <c r="A573" s="127"/>
      <c r="B573" s="211"/>
      <c r="D573" s="211"/>
    </row>
    <row r="574" ht="15.75" customHeight="1">
      <c r="A574" s="127"/>
      <c r="B574" s="211"/>
      <c r="D574" s="211"/>
    </row>
    <row r="575" ht="15.75" customHeight="1">
      <c r="A575" s="127"/>
      <c r="B575" s="211"/>
      <c r="D575" s="211"/>
    </row>
    <row r="576" ht="15.75" customHeight="1">
      <c r="A576" s="127"/>
      <c r="B576" s="211"/>
      <c r="D576" s="211"/>
    </row>
    <row r="577" ht="15.75" customHeight="1">
      <c r="A577" s="127"/>
      <c r="B577" s="211"/>
      <c r="D577" s="211"/>
    </row>
    <row r="578" ht="15.75" customHeight="1">
      <c r="A578" s="127"/>
      <c r="B578" s="211"/>
      <c r="D578" s="211"/>
    </row>
    <row r="579" ht="15.75" customHeight="1">
      <c r="A579" s="127"/>
      <c r="B579" s="211"/>
      <c r="D579" s="211"/>
    </row>
    <row r="580" ht="15.75" customHeight="1">
      <c r="A580" s="127"/>
      <c r="B580" s="211"/>
      <c r="D580" s="211"/>
    </row>
    <row r="581" ht="15.75" customHeight="1">
      <c r="A581" s="127"/>
      <c r="B581" s="211"/>
      <c r="D581" s="211"/>
    </row>
    <row r="582" ht="15.75" customHeight="1">
      <c r="A582" s="127"/>
      <c r="B582" s="211"/>
      <c r="D582" s="211"/>
    </row>
    <row r="583" ht="15.75" customHeight="1">
      <c r="A583" s="127"/>
      <c r="B583" s="211"/>
      <c r="D583" s="211"/>
    </row>
    <row r="584" ht="15.75" customHeight="1">
      <c r="A584" s="127"/>
      <c r="B584" s="211"/>
      <c r="D584" s="211"/>
    </row>
    <row r="585" ht="15.75" customHeight="1">
      <c r="A585" s="127"/>
      <c r="B585" s="211"/>
      <c r="D585" s="211"/>
    </row>
    <row r="586" ht="15.75" customHeight="1">
      <c r="A586" s="127"/>
      <c r="B586" s="211"/>
      <c r="D586" s="211"/>
    </row>
    <row r="587" ht="15.75" customHeight="1">
      <c r="A587" s="127"/>
      <c r="B587" s="211"/>
      <c r="D587" s="211"/>
    </row>
    <row r="588" ht="15.75" customHeight="1">
      <c r="A588" s="127"/>
      <c r="B588" s="211"/>
      <c r="D588" s="211"/>
    </row>
    <row r="589" ht="15.75" customHeight="1">
      <c r="A589" s="127"/>
      <c r="B589" s="211"/>
      <c r="D589" s="211"/>
    </row>
    <row r="590" ht="15.75" customHeight="1">
      <c r="A590" s="127"/>
      <c r="B590" s="211"/>
      <c r="D590" s="211"/>
    </row>
    <row r="591" ht="15.75" customHeight="1">
      <c r="A591" s="127"/>
      <c r="B591" s="211"/>
      <c r="D591" s="211"/>
    </row>
    <row r="592" ht="15.75" customHeight="1">
      <c r="A592" s="127"/>
      <c r="B592" s="211"/>
      <c r="D592" s="211"/>
    </row>
    <row r="593" ht="15.75" customHeight="1">
      <c r="A593" s="127"/>
      <c r="B593" s="211"/>
      <c r="D593" s="211"/>
    </row>
    <row r="594" ht="15.75" customHeight="1">
      <c r="A594" s="127"/>
      <c r="B594" s="211"/>
      <c r="D594" s="211"/>
    </row>
    <row r="595" ht="15.75" customHeight="1">
      <c r="A595" s="127"/>
      <c r="B595" s="211"/>
      <c r="D595" s="211"/>
    </row>
    <row r="596" ht="15.75" customHeight="1">
      <c r="A596" s="127"/>
      <c r="B596" s="211"/>
      <c r="D596" s="211"/>
    </row>
    <row r="597" ht="15.75" customHeight="1">
      <c r="A597" s="127"/>
      <c r="B597" s="211"/>
      <c r="D597" s="211"/>
    </row>
    <row r="598" ht="15.75" customHeight="1">
      <c r="A598" s="127"/>
      <c r="B598" s="211"/>
      <c r="D598" s="211"/>
    </row>
    <row r="599" ht="15.75" customHeight="1">
      <c r="A599" s="127"/>
      <c r="B599" s="211"/>
      <c r="D599" s="211"/>
    </row>
    <row r="600" ht="15.75" customHeight="1">
      <c r="A600" s="127"/>
      <c r="B600" s="211"/>
      <c r="D600" s="211"/>
    </row>
    <row r="601" ht="15.75" customHeight="1">
      <c r="A601" s="127"/>
      <c r="B601" s="211"/>
      <c r="D601" s="211"/>
    </row>
    <row r="602" ht="15.75" customHeight="1">
      <c r="A602" s="127"/>
      <c r="B602" s="211"/>
      <c r="D602" s="211"/>
    </row>
    <row r="603" ht="15.75" customHeight="1">
      <c r="A603" s="127"/>
      <c r="B603" s="211"/>
      <c r="D603" s="211"/>
    </row>
    <row r="604" ht="15.75" customHeight="1">
      <c r="A604" s="127"/>
      <c r="B604" s="211"/>
      <c r="D604" s="211"/>
    </row>
    <row r="605" ht="15.75" customHeight="1">
      <c r="A605" s="127"/>
      <c r="B605" s="211"/>
      <c r="D605" s="211"/>
    </row>
    <row r="606" ht="15.75" customHeight="1">
      <c r="A606" s="127"/>
      <c r="B606" s="211"/>
      <c r="D606" s="211"/>
    </row>
    <row r="607" ht="15.75" customHeight="1">
      <c r="A607" s="127"/>
      <c r="B607" s="211"/>
      <c r="D607" s="211"/>
    </row>
    <row r="608" ht="15.75" customHeight="1">
      <c r="A608" s="127"/>
      <c r="B608" s="211"/>
      <c r="D608" s="211"/>
    </row>
    <row r="609" ht="15.75" customHeight="1">
      <c r="A609" s="127"/>
      <c r="B609" s="211"/>
      <c r="D609" s="211"/>
    </row>
    <row r="610" ht="15.75" customHeight="1">
      <c r="A610" s="127"/>
      <c r="B610" s="211"/>
      <c r="D610" s="211"/>
    </row>
    <row r="611" ht="15.75" customHeight="1">
      <c r="A611" s="127"/>
      <c r="B611" s="211"/>
      <c r="D611" s="211"/>
    </row>
    <row r="612" ht="15.75" customHeight="1">
      <c r="A612" s="127"/>
      <c r="B612" s="211"/>
      <c r="D612" s="211"/>
    </row>
    <row r="613" ht="15.75" customHeight="1">
      <c r="A613" s="127"/>
      <c r="B613" s="211"/>
      <c r="D613" s="211"/>
    </row>
    <row r="614" ht="15.75" customHeight="1">
      <c r="A614" s="127"/>
      <c r="B614" s="211"/>
      <c r="D614" s="211"/>
    </row>
    <row r="615" ht="15.75" customHeight="1">
      <c r="A615" s="127"/>
      <c r="B615" s="211"/>
      <c r="D615" s="211"/>
    </row>
    <row r="616" ht="15.75" customHeight="1">
      <c r="A616" s="127"/>
      <c r="B616" s="211"/>
      <c r="D616" s="211"/>
    </row>
    <row r="617" ht="15.75" customHeight="1">
      <c r="A617" s="127"/>
      <c r="B617" s="211"/>
      <c r="D617" s="211"/>
    </row>
    <row r="618" ht="15.75" customHeight="1">
      <c r="A618" s="127"/>
      <c r="B618" s="211"/>
      <c r="D618" s="211"/>
    </row>
    <row r="619" ht="15.75" customHeight="1">
      <c r="A619" s="127"/>
      <c r="B619" s="211"/>
      <c r="D619" s="211"/>
    </row>
    <row r="620" ht="15.75" customHeight="1">
      <c r="A620" s="127"/>
      <c r="B620" s="211"/>
      <c r="D620" s="211"/>
    </row>
    <row r="621" ht="15.75" customHeight="1">
      <c r="A621" s="127"/>
      <c r="B621" s="211"/>
      <c r="D621" s="211"/>
    </row>
    <row r="622" ht="15.75" customHeight="1">
      <c r="A622" s="127"/>
      <c r="B622" s="211"/>
      <c r="D622" s="211"/>
    </row>
    <row r="623" ht="15.75" customHeight="1">
      <c r="A623" s="127"/>
      <c r="B623" s="211"/>
      <c r="D623" s="211"/>
    </row>
    <row r="624" ht="15.75" customHeight="1">
      <c r="A624" s="127"/>
      <c r="B624" s="211"/>
      <c r="D624" s="211"/>
    </row>
    <row r="625" ht="15.75" customHeight="1">
      <c r="A625" s="127"/>
      <c r="B625" s="211"/>
      <c r="D625" s="211"/>
    </row>
    <row r="626" ht="15.75" customHeight="1">
      <c r="A626" s="127"/>
      <c r="B626" s="211"/>
      <c r="D626" s="211"/>
    </row>
    <row r="627" ht="15.75" customHeight="1">
      <c r="A627" s="127"/>
      <c r="B627" s="211"/>
      <c r="D627" s="211"/>
    </row>
    <row r="628" ht="15.75" customHeight="1">
      <c r="A628" s="127"/>
      <c r="B628" s="211"/>
      <c r="D628" s="211"/>
    </row>
    <row r="629" ht="15.75" customHeight="1">
      <c r="A629" s="127"/>
      <c r="B629" s="211"/>
      <c r="D629" s="211"/>
    </row>
    <row r="630" ht="15.75" customHeight="1">
      <c r="A630" s="127"/>
      <c r="B630" s="211"/>
      <c r="D630" s="211"/>
    </row>
    <row r="631" ht="15.75" customHeight="1">
      <c r="A631" s="127"/>
      <c r="B631" s="211"/>
      <c r="D631" s="211"/>
    </row>
    <row r="632" ht="15.75" customHeight="1">
      <c r="A632" s="127"/>
      <c r="B632" s="211"/>
      <c r="D632" s="211"/>
    </row>
    <row r="633" ht="15.75" customHeight="1">
      <c r="A633" s="127"/>
      <c r="B633" s="211"/>
      <c r="D633" s="211"/>
    </row>
    <row r="634" ht="15.75" customHeight="1">
      <c r="A634" s="127"/>
      <c r="B634" s="211"/>
      <c r="D634" s="211"/>
    </row>
    <row r="635" ht="15.75" customHeight="1">
      <c r="A635" s="127"/>
      <c r="B635" s="211"/>
      <c r="D635" s="211"/>
    </row>
    <row r="636" ht="15.75" customHeight="1">
      <c r="A636" s="127"/>
      <c r="B636" s="211"/>
      <c r="D636" s="211"/>
    </row>
    <row r="637" ht="15.75" customHeight="1">
      <c r="A637" s="127"/>
      <c r="B637" s="211"/>
      <c r="D637" s="211"/>
    </row>
    <row r="638" ht="15.75" customHeight="1">
      <c r="A638" s="127"/>
      <c r="B638" s="211"/>
      <c r="D638" s="211"/>
    </row>
    <row r="639" ht="15.75" customHeight="1">
      <c r="A639" s="127"/>
      <c r="B639" s="211"/>
      <c r="D639" s="211"/>
    </row>
    <row r="640" ht="15.75" customHeight="1">
      <c r="A640" s="127"/>
      <c r="B640" s="211"/>
      <c r="D640" s="211"/>
    </row>
    <row r="641" ht="15.75" customHeight="1">
      <c r="A641" s="127"/>
      <c r="B641" s="211"/>
      <c r="D641" s="211"/>
    </row>
    <row r="642" ht="15.75" customHeight="1">
      <c r="A642" s="127"/>
      <c r="B642" s="211"/>
      <c r="D642" s="211"/>
    </row>
    <row r="643" ht="15.75" customHeight="1">
      <c r="A643" s="127"/>
      <c r="B643" s="211"/>
      <c r="D643" s="211"/>
    </row>
    <row r="644" ht="15.75" customHeight="1">
      <c r="A644" s="127"/>
      <c r="B644" s="211"/>
      <c r="D644" s="211"/>
    </row>
    <row r="645" ht="15.75" customHeight="1">
      <c r="A645" s="127"/>
      <c r="B645" s="211"/>
      <c r="D645" s="211"/>
    </row>
    <row r="646" ht="15.75" customHeight="1">
      <c r="A646" s="127"/>
      <c r="B646" s="211"/>
      <c r="D646" s="211"/>
    </row>
    <row r="647" ht="15.75" customHeight="1">
      <c r="A647" s="127"/>
      <c r="B647" s="211"/>
      <c r="D647" s="211"/>
    </row>
    <row r="648" ht="15.75" customHeight="1">
      <c r="A648" s="127"/>
      <c r="B648" s="211"/>
      <c r="D648" s="211"/>
    </row>
    <row r="649" ht="15.75" customHeight="1">
      <c r="A649" s="127"/>
      <c r="B649" s="211"/>
      <c r="D649" s="211"/>
    </row>
    <row r="650" ht="15.75" customHeight="1">
      <c r="A650" s="127"/>
      <c r="B650" s="211"/>
      <c r="D650" s="211"/>
    </row>
    <row r="651" ht="15.75" customHeight="1">
      <c r="A651" s="127"/>
      <c r="B651" s="211"/>
      <c r="D651" s="211"/>
    </row>
    <row r="652" ht="15.75" customHeight="1">
      <c r="A652" s="127"/>
      <c r="B652" s="211"/>
      <c r="D652" s="211"/>
    </row>
    <row r="653" ht="15.75" customHeight="1">
      <c r="A653" s="127"/>
      <c r="B653" s="211"/>
      <c r="D653" s="211"/>
    </row>
    <row r="654" ht="15.75" customHeight="1">
      <c r="A654" s="127"/>
      <c r="B654" s="211"/>
      <c r="D654" s="211"/>
    </row>
    <row r="655" ht="15.75" customHeight="1">
      <c r="A655" s="127"/>
      <c r="B655" s="211"/>
      <c r="D655" s="211"/>
    </row>
    <row r="656" ht="15.75" customHeight="1">
      <c r="A656" s="127"/>
      <c r="B656" s="211"/>
      <c r="D656" s="211"/>
    </row>
    <row r="657" ht="15.75" customHeight="1">
      <c r="A657" s="127"/>
      <c r="B657" s="211"/>
      <c r="D657" s="211"/>
    </row>
    <row r="658" ht="15.75" customHeight="1">
      <c r="A658" s="127"/>
      <c r="B658" s="211"/>
      <c r="D658" s="211"/>
    </row>
    <row r="659" ht="15.75" customHeight="1">
      <c r="A659" s="127"/>
      <c r="B659" s="211"/>
      <c r="D659" s="211"/>
    </row>
    <row r="660" ht="15.75" customHeight="1">
      <c r="A660" s="127"/>
      <c r="B660" s="211"/>
      <c r="D660" s="211"/>
    </row>
    <row r="661" ht="15.75" customHeight="1">
      <c r="A661" s="127"/>
      <c r="B661" s="211"/>
      <c r="D661" s="211"/>
    </row>
    <row r="662" ht="15.75" customHeight="1">
      <c r="A662" s="127"/>
      <c r="B662" s="211"/>
      <c r="D662" s="211"/>
    </row>
    <row r="663" ht="15.75" customHeight="1">
      <c r="A663" s="127"/>
      <c r="B663" s="211"/>
      <c r="D663" s="211"/>
    </row>
    <row r="664" ht="15.75" customHeight="1">
      <c r="A664" s="127"/>
      <c r="B664" s="211"/>
      <c r="D664" s="211"/>
    </row>
    <row r="665" ht="15.75" customHeight="1">
      <c r="A665" s="127"/>
      <c r="B665" s="211"/>
      <c r="D665" s="211"/>
    </row>
    <row r="666" ht="15.75" customHeight="1">
      <c r="A666" s="127"/>
      <c r="B666" s="211"/>
      <c r="D666" s="211"/>
    </row>
    <row r="667" ht="15.75" customHeight="1">
      <c r="A667" s="127"/>
      <c r="B667" s="211"/>
      <c r="D667" s="211"/>
    </row>
    <row r="668" ht="15.75" customHeight="1">
      <c r="A668" s="127"/>
      <c r="B668" s="211"/>
      <c r="D668" s="211"/>
    </row>
    <row r="669" ht="15.75" customHeight="1">
      <c r="A669" s="127"/>
      <c r="B669" s="211"/>
      <c r="D669" s="211"/>
    </row>
    <row r="670" ht="15.75" customHeight="1">
      <c r="A670" s="127"/>
      <c r="B670" s="211"/>
      <c r="D670" s="211"/>
    </row>
    <row r="671" ht="15.75" customHeight="1">
      <c r="A671" s="127"/>
      <c r="B671" s="211"/>
      <c r="D671" s="211"/>
    </row>
    <row r="672" ht="15.75" customHeight="1">
      <c r="A672" s="127"/>
      <c r="B672" s="211"/>
      <c r="D672" s="211"/>
    </row>
    <row r="673" ht="15.75" customHeight="1">
      <c r="A673" s="127"/>
      <c r="B673" s="211"/>
      <c r="D673" s="211"/>
    </row>
    <row r="674" ht="15.75" customHeight="1">
      <c r="A674" s="127"/>
      <c r="B674" s="211"/>
      <c r="D674" s="211"/>
    </row>
    <row r="675" ht="15.75" customHeight="1">
      <c r="A675" s="127"/>
      <c r="B675" s="211"/>
      <c r="D675" s="211"/>
    </row>
    <row r="676" ht="15.75" customHeight="1">
      <c r="A676" s="127"/>
      <c r="B676" s="211"/>
      <c r="D676" s="211"/>
    </row>
    <row r="677" ht="15.75" customHeight="1">
      <c r="A677" s="127"/>
      <c r="B677" s="211"/>
      <c r="D677" s="211"/>
    </row>
    <row r="678" ht="15.75" customHeight="1">
      <c r="A678" s="127"/>
      <c r="B678" s="211"/>
      <c r="D678" s="211"/>
    </row>
    <row r="679" ht="15.75" customHeight="1">
      <c r="A679" s="127"/>
      <c r="B679" s="211"/>
      <c r="D679" s="211"/>
    </row>
    <row r="680" ht="15.75" customHeight="1">
      <c r="A680" s="127"/>
      <c r="B680" s="211"/>
      <c r="D680" s="211"/>
    </row>
    <row r="681" ht="15.75" customHeight="1">
      <c r="A681" s="127"/>
      <c r="B681" s="211"/>
      <c r="D681" s="211"/>
    </row>
    <row r="682" ht="15.75" customHeight="1">
      <c r="A682" s="127"/>
      <c r="B682" s="211"/>
      <c r="D682" s="211"/>
    </row>
    <row r="683" ht="15.75" customHeight="1">
      <c r="A683" s="127"/>
      <c r="B683" s="211"/>
      <c r="D683" s="211"/>
    </row>
    <row r="684" ht="15.75" customHeight="1">
      <c r="A684" s="127"/>
      <c r="B684" s="211"/>
      <c r="D684" s="211"/>
    </row>
    <row r="685" ht="15.75" customHeight="1">
      <c r="A685" s="127"/>
      <c r="B685" s="211"/>
      <c r="D685" s="211"/>
    </row>
    <row r="686" ht="15.75" customHeight="1">
      <c r="A686" s="127"/>
      <c r="B686" s="211"/>
      <c r="D686" s="211"/>
    </row>
    <row r="687" ht="15.75" customHeight="1">
      <c r="A687" s="127"/>
      <c r="B687" s="211"/>
      <c r="D687" s="211"/>
    </row>
    <row r="688" ht="15.75" customHeight="1">
      <c r="A688" s="127"/>
      <c r="B688" s="211"/>
      <c r="D688" s="211"/>
    </row>
    <row r="689" ht="15.75" customHeight="1">
      <c r="A689" s="127"/>
      <c r="B689" s="211"/>
      <c r="D689" s="211"/>
    </row>
    <row r="690" ht="15.75" customHeight="1">
      <c r="A690" s="127"/>
      <c r="B690" s="211"/>
      <c r="D690" s="211"/>
    </row>
    <row r="691" ht="15.75" customHeight="1">
      <c r="A691" s="127"/>
      <c r="B691" s="211"/>
      <c r="D691" s="211"/>
    </row>
    <row r="692" ht="15.75" customHeight="1">
      <c r="A692" s="127"/>
      <c r="B692" s="211"/>
      <c r="D692" s="211"/>
    </row>
    <row r="693" ht="15.75" customHeight="1">
      <c r="A693" s="127"/>
      <c r="B693" s="211"/>
      <c r="D693" s="211"/>
    </row>
    <row r="694" ht="15.75" customHeight="1">
      <c r="A694" s="127"/>
      <c r="B694" s="211"/>
      <c r="D694" s="211"/>
    </row>
    <row r="695" ht="15.75" customHeight="1">
      <c r="A695" s="127"/>
      <c r="B695" s="211"/>
      <c r="D695" s="211"/>
    </row>
    <row r="696" ht="15.75" customHeight="1">
      <c r="A696" s="127"/>
      <c r="B696" s="211"/>
      <c r="D696" s="211"/>
    </row>
    <row r="697" ht="15.75" customHeight="1">
      <c r="A697" s="127"/>
      <c r="B697" s="211"/>
      <c r="D697" s="211"/>
    </row>
    <row r="698" ht="15.75" customHeight="1">
      <c r="A698" s="127"/>
      <c r="B698" s="211"/>
      <c r="D698" s="211"/>
    </row>
    <row r="699" ht="15.75" customHeight="1">
      <c r="A699" s="127"/>
      <c r="B699" s="211"/>
      <c r="D699" s="211"/>
    </row>
    <row r="700" ht="15.75" customHeight="1">
      <c r="A700" s="127"/>
      <c r="B700" s="211"/>
      <c r="D700" s="211"/>
    </row>
    <row r="701" ht="15.75" customHeight="1">
      <c r="A701" s="127"/>
      <c r="B701" s="211"/>
      <c r="D701" s="211"/>
    </row>
    <row r="702" ht="15.75" customHeight="1">
      <c r="A702" s="127"/>
      <c r="B702" s="211"/>
      <c r="D702" s="211"/>
    </row>
    <row r="703" ht="15.75" customHeight="1">
      <c r="A703" s="127"/>
      <c r="B703" s="211"/>
      <c r="D703" s="211"/>
    </row>
    <row r="704" ht="15.75" customHeight="1">
      <c r="A704" s="127"/>
      <c r="B704" s="211"/>
      <c r="D704" s="211"/>
    </row>
    <row r="705" ht="15.75" customHeight="1">
      <c r="A705" s="127"/>
      <c r="B705" s="211"/>
      <c r="D705" s="211"/>
    </row>
    <row r="706" ht="15.75" customHeight="1">
      <c r="A706" s="127"/>
      <c r="B706" s="211"/>
      <c r="D706" s="211"/>
    </row>
    <row r="707" ht="15.75" customHeight="1">
      <c r="A707" s="127"/>
      <c r="B707" s="211"/>
      <c r="D707" s="211"/>
    </row>
    <row r="708" ht="15.75" customHeight="1">
      <c r="A708" s="127"/>
      <c r="B708" s="211"/>
      <c r="D708" s="211"/>
    </row>
    <row r="709" ht="15.75" customHeight="1">
      <c r="A709" s="127"/>
      <c r="B709" s="211"/>
      <c r="D709" s="211"/>
    </row>
    <row r="710" ht="15.75" customHeight="1">
      <c r="A710" s="127"/>
      <c r="B710" s="211"/>
      <c r="D710" s="211"/>
    </row>
    <row r="711" ht="15.75" customHeight="1">
      <c r="A711" s="127"/>
      <c r="B711" s="211"/>
      <c r="D711" s="211"/>
    </row>
    <row r="712" ht="15.75" customHeight="1">
      <c r="A712" s="127"/>
      <c r="B712" s="211"/>
      <c r="D712" s="211"/>
    </row>
    <row r="713" ht="15.75" customHeight="1">
      <c r="A713" s="127"/>
      <c r="B713" s="211"/>
      <c r="D713" s="211"/>
    </row>
    <row r="714" ht="15.75" customHeight="1">
      <c r="A714" s="127"/>
      <c r="B714" s="211"/>
      <c r="D714" s="211"/>
    </row>
    <row r="715" ht="15.75" customHeight="1">
      <c r="A715" s="127"/>
      <c r="B715" s="211"/>
      <c r="D715" s="211"/>
    </row>
    <row r="716" ht="15.75" customHeight="1">
      <c r="A716" s="127"/>
      <c r="B716" s="211"/>
      <c r="D716" s="211"/>
    </row>
    <row r="717" ht="15.75" customHeight="1">
      <c r="A717" s="127"/>
      <c r="B717" s="211"/>
      <c r="D717" s="211"/>
    </row>
    <row r="718" ht="15.75" customHeight="1">
      <c r="A718" s="127"/>
      <c r="B718" s="211"/>
      <c r="D718" s="211"/>
    </row>
    <row r="719" ht="15.75" customHeight="1">
      <c r="A719" s="127"/>
      <c r="B719" s="211"/>
      <c r="D719" s="211"/>
    </row>
    <row r="720" ht="15.75" customHeight="1">
      <c r="A720" s="127"/>
      <c r="B720" s="211"/>
      <c r="D720" s="211"/>
    </row>
    <row r="721" ht="15.75" customHeight="1">
      <c r="A721" s="127"/>
      <c r="B721" s="211"/>
      <c r="D721" s="211"/>
    </row>
    <row r="722" ht="15.75" customHeight="1">
      <c r="A722" s="127"/>
      <c r="B722" s="211"/>
      <c r="D722" s="211"/>
    </row>
    <row r="723" ht="15.75" customHeight="1">
      <c r="A723" s="127"/>
      <c r="B723" s="211"/>
      <c r="D723" s="211"/>
    </row>
    <row r="724" ht="15.75" customHeight="1">
      <c r="A724" s="127"/>
      <c r="B724" s="211"/>
      <c r="D724" s="211"/>
    </row>
    <row r="725" ht="15.75" customHeight="1">
      <c r="A725" s="127"/>
      <c r="B725" s="211"/>
      <c r="D725" s="211"/>
    </row>
    <row r="726" ht="15.75" customHeight="1">
      <c r="A726" s="127"/>
      <c r="B726" s="211"/>
      <c r="D726" s="211"/>
    </row>
    <row r="727" ht="15.75" customHeight="1">
      <c r="A727" s="127"/>
      <c r="B727" s="211"/>
      <c r="D727" s="211"/>
    </row>
    <row r="728" ht="15.75" customHeight="1">
      <c r="A728" s="127"/>
      <c r="B728" s="211"/>
      <c r="D728" s="211"/>
    </row>
    <row r="729" ht="15.75" customHeight="1">
      <c r="A729" s="127"/>
      <c r="B729" s="211"/>
      <c r="D729" s="211"/>
    </row>
    <row r="730" ht="15.75" customHeight="1">
      <c r="A730" s="127"/>
      <c r="B730" s="211"/>
      <c r="D730" s="211"/>
    </row>
    <row r="731" ht="15.75" customHeight="1">
      <c r="A731" s="127"/>
      <c r="B731" s="211"/>
      <c r="D731" s="211"/>
    </row>
    <row r="732" ht="15.75" customHeight="1">
      <c r="A732" s="127"/>
      <c r="B732" s="211"/>
      <c r="D732" s="211"/>
    </row>
    <row r="733" ht="15.75" customHeight="1">
      <c r="A733" s="127"/>
      <c r="B733" s="211"/>
      <c r="D733" s="211"/>
    </row>
    <row r="734" ht="15.75" customHeight="1">
      <c r="A734" s="127"/>
      <c r="B734" s="211"/>
      <c r="D734" s="211"/>
    </row>
    <row r="735" ht="15.75" customHeight="1">
      <c r="A735" s="127"/>
      <c r="B735" s="211"/>
      <c r="D735" s="211"/>
    </row>
    <row r="736" ht="15.75" customHeight="1">
      <c r="A736" s="127"/>
      <c r="B736" s="211"/>
      <c r="D736" s="211"/>
    </row>
    <row r="737" ht="15.75" customHeight="1">
      <c r="A737" s="127"/>
      <c r="B737" s="211"/>
      <c r="D737" s="211"/>
    </row>
    <row r="738" ht="15.75" customHeight="1">
      <c r="A738" s="127"/>
      <c r="B738" s="211"/>
      <c r="D738" s="211"/>
    </row>
    <row r="739" ht="15.75" customHeight="1">
      <c r="A739" s="127"/>
      <c r="B739" s="211"/>
      <c r="D739" s="211"/>
    </row>
    <row r="740" ht="15.75" customHeight="1">
      <c r="A740" s="127"/>
      <c r="B740" s="211"/>
      <c r="D740" s="211"/>
    </row>
    <row r="741" ht="15.75" customHeight="1">
      <c r="A741" s="127"/>
      <c r="B741" s="211"/>
      <c r="D741" s="211"/>
    </row>
    <row r="742" ht="15.75" customHeight="1">
      <c r="A742" s="127"/>
      <c r="B742" s="211"/>
      <c r="D742" s="211"/>
    </row>
    <row r="743" ht="15.75" customHeight="1">
      <c r="A743" s="127"/>
      <c r="B743" s="211"/>
      <c r="D743" s="211"/>
    </row>
    <row r="744" ht="15.75" customHeight="1">
      <c r="A744" s="127"/>
      <c r="B744" s="211"/>
      <c r="D744" s="211"/>
    </row>
    <row r="745" ht="15.75" customHeight="1">
      <c r="A745" s="127"/>
      <c r="B745" s="211"/>
      <c r="D745" s="211"/>
    </row>
    <row r="746" ht="15.75" customHeight="1">
      <c r="A746" s="127"/>
      <c r="B746" s="211"/>
      <c r="D746" s="211"/>
    </row>
    <row r="747" ht="15.75" customHeight="1">
      <c r="A747" s="127"/>
      <c r="B747" s="211"/>
      <c r="D747" s="211"/>
    </row>
    <row r="748" ht="15.75" customHeight="1">
      <c r="A748" s="127"/>
      <c r="B748" s="211"/>
      <c r="D748" s="211"/>
    </row>
    <row r="749" ht="15.75" customHeight="1">
      <c r="A749" s="127"/>
      <c r="B749" s="211"/>
      <c r="D749" s="211"/>
    </row>
    <row r="750" ht="15.75" customHeight="1">
      <c r="A750" s="127"/>
      <c r="B750" s="211"/>
      <c r="D750" s="211"/>
    </row>
    <row r="751" ht="15.75" customHeight="1">
      <c r="A751" s="127"/>
      <c r="B751" s="211"/>
      <c r="D751" s="211"/>
    </row>
    <row r="752" ht="15.75" customHeight="1">
      <c r="A752" s="127"/>
      <c r="B752" s="211"/>
      <c r="D752" s="211"/>
    </row>
    <row r="753" ht="15.75" customHeight="1">
      <c r="A753" s="127"/>
      <c r="B753" s="211"/>
      <c r="D753" s="211"/>
    </row>
    <row r="754" ht="15.75" customHeight="1">
      <c r="A754" s="127"/>
      <c r="B754" s="211"/>
      <c r="D754" s="211"/>
    </row>
    <row r="755" ht="15.75" customHeight="1">
      <c r="A755" s="127"/>
      <c r="B755" s="211"/>
      <c r="D755" s="211"/>
    </row>
    <row r="756" ht="15.75" customHeight="1">
      <c r="A756" s="127"/>
      <c r="B756" s="211"/>
      <c r="D756" s="211"/>
    </row>
    <row r="757" ht="15.75" customHeight="1">
      <c r="A757" s="127"/>
      <c r="B757" s="211"/>
      <c r="D757" s="211"/>
    </row>
    <row r="758" ht="15.75" customHeight="1">
      <c r="A758" s="127"/>
      <c r="B758" s="211"/>
      <c r="D758" s="211"/>
    </row>
    <row r="759" ht="15.75" customHeight="1">
      <c r="A759" s="127"/>
      <c r="B759" s="211"/>
      <c r="D759" s="211"/>
    </row>
    <row r="760" ht="15.75" customHeight="1">
      <c r="A760" s="127"/>
      <c r="B760" s="211"/>
      <c r="D760" s="211"/>
    </row>
    <row r="761" ht="15.75" customHeight="1">
      <c r="A761" s="127"/>
      <c r="B761" s="211"/>
      <c r="D761" s="211"/>
    </row>
    <row r="762" ht="15.75" customHeight="1">
      <c r="A762" s="127"/>
      <c r="B762" s="211"/>
      <c r="D762" s="211"/>
    </row>
    <row r="763" ht="15.75" customHeight="1">
      <c r="A763" s="127"/>
      <c r="B763" s="211"/>
      <c r="D763" s="211"/>
    </row>
    <row r="764" ht="15.75" customHeight="1">
      <c r="A764" s="127"/>
      <c r="B764" s="211"/>
      <c r="D764" s="211"/>
    </row>
    <row r="765" ht="15.75" customHeight="1">
      <c r="A765" s="127"/>
      <c r="B765" s="211"/>
      <c r="D765" s="211"/>
    </row>
    <row r="766" ht="15.75" customHeight="1">
      <c r="A766" s="127"/>
      <c r="B766" s="211"/>
      <c r="D766" s="211"/>
    </row>
    <row r="767" ht="15.75" customHeight="1">
      <c r="A767" s="127"/>
      <c r="B767" s="211"/>
      <c r="D767" s="211"/>
    </row>
    <row r="768" ht="15.75" customHeight="1">
      <c r="A768" s="127"/>
      <c r="B768" s="211"/>
      <c r="D768" s="211"/>
    </row>
    <row r="769" ht="15.75" customHeight="1">
      <c r="A769" s="127"/>
      <c r="B769" s="211"/>
      <c r="D769" s="211"/>
    </row>
    <row r="770" ht="15.75" customHeight="1">
      <c r="A770" s="127"/>
      <c r="B770" s="211"/>
      <c r="D770" s="211"/>
    </row>
    <row r="771" ht="15.75" customHeight="1">
      <c r="A771" s="127"/>
      <c r="B771" s="211"/>
      <c r="D771" s="211"/>
    </row>
    <row r="772" ht="15.75" customHeight="1">
      <c r="A772" s="127"/>
      <c r="B772" s="211"/>
      <c r="D772" s="211"/>
    </row>
    <row r="773" ht="15.75" customHeight="1">
      <c r="A773" s="127"/>
      <c r="B773" s="211"/>
      <c r="D773" s="211"/>
    </row>
    <row r="774" ht="15.75" customHeight="1">
      <c r="A774" s="127"/>
      <c r="B774" s="211"/>
      <c r="D774" s="211"/>
    </row>
    <row r="775" ht="15.75" customHeight="1">
      <c r="A775" s="127"/>
      <c r="B775" s="211"/>
      <c r="D775" s="211"/>
    </row>
    <row r="776" ht="15.75" customHeight="1">
      <c r="A776" s="127"/>
      <c r="B776" s="211"/>
      <c r="D776" s="211"/>
    </row>
    <row r="777" ht="15.75" customHeight="1">
      <c r="A777" s="127"/>
      <c r="B777" s="211"/>
      <c r="D777" s="211"/>
    </row>
    <row r="778" ht="15.75" customHeight="1">
      <c r="A778" s="127"/>
      <c r="B778" s="211"/>
      <c r="D778" s="211"/>
    </row>
    <row r="779" ht="15.75" customHeight="1">
      <c r="A779" s="127"/>
      <c r="B779" s="211"/>
      <c r="D779" s="211"/>
    </row>
    <row r="780" ht="15.75" customHeight="1">
      <c r="A780" s="127"/>
      <c r="B780" s="211"/>
      <c r="D780" s="211"/>
    </row>
    <row r="781" ht="15.75" customHeight="1">
      <c r="A781" s="127"/>
      <c r="B781" s="211"/>
      <c r="D781" s="211"/>
    </row>
    <row r="782" ht="15.75" customHeight="1">
      <c r="A782" s="127"/>
      <c r="B782" s="211"/>
      <c r="D782" s="211"/>
    </row>
    <row r="783" ht="15.75" customHeight="1">
      <c r="A783" s="127"/>
      <c r="B783" s="211"/>
      <c r="D783" s="211"/>
    </row>
    <row r="784" ht="15.75" customHeight="1">
      <c r="A784" s="127"/>
      <c r="B784" s="211"/>
      <c r="D784" s="211"/>
    </row>
    <row r="785" ht="15.75" customHeight="1">
      <c r="A785" s="127"/>
      <c r="B785" s="211"/>
      <c r="D785" s="211"/>
    </row>
    <row r="786" ht="15.75" customHeight="1">
      <c r="A786" s="127"/>
      <c r="B786" s="211"/>
      <c r="D786" s="211"/>
    </row>
    <row r="787" ht="15.75" customHeight="1">
      <c r="A787" s="127"/>
      <c r="B787" s="211"/>
      <c r="D787" s="211"/>
    </row>
    <row r="788" ht="15.75" customHeight="1">
      <c r="A788" s="127"/>
      <c r="B788" s="211"/>
      <c r="D788" s="211"/>
    </row>
    <row r="789" ht="15.75" customHeight="1">
      <c r="A789" s="127"/>
      <c r="B789" s="211"/>
      <c r="D789" s="211"/>
    </row>
    <row r="790" ht="15.75" customHeight="1">
      <c r="A790" s="127"/>
      <c r="B790" s="211"/>
      <c r="D790" s="211"/>
    </row>
    <row r="791" ht="15.75" customHeight="1">
      <c r="A791" s="127"/>
      <c r="B791" s="211"/>
      <c r="D791" s="211"/>
    </row>
    <row r="792" ht="15.75" customHeight="1">
      <c r="A792" s="127"/>
      <c r="B792" s="211"/>
      <c r="D792" s="211"/>
    </row>
    <row r="793" ht="15.75" customHeight="1">
      <c r="A793" s="127"/>
      <c r="B793" s="211"/>
      <c r="D793" s="211"/>
    </row>
    <row r="794" ht="15.75" customHeight="1">
      <c r="A794" s="127"/>
      <c r="B794" s="211"/>
      <c r="D794" s="211"/>
    </row>
    <row r="795" ht="15.75" customHeight="1">
      <c r="A795" s="127"/>
      <c r="B795" s="211"/>
      <c r="D795" s="211"/>
    </row>
    <row r="796" ht="15.75" customHeight="1">
      <c r="A796" s="127"/>
      <c r="B796" s="211"/>
      <c r="D796" s="211"/>
    </row>
    <row r="797" ht="15.75" customHeight="1">
      <c r="A797" s="127"/>
      <c r="B797" s="211"/>
      <c r="D797" s="211"/>
    </row>
    <row r="798" ht="15.75" customHeight="1">
      <c r="A798" s="127"/>
      <c r="B798" s="211"/>
      <c r="D798" s="211"/>
    </row>
    <row r="799" ht="15.75" customHeight="1">
      <c r="A799" s="127"/>
      <c r="B799" s="211"/>
      <c r="D799" s="211"/>
    </row>
    <row r="800" ht="15.75" customHeight="1">
      <c r="A800" s="127"/>
      <c r="B800" s="211"/>
      <c r="D800" s="211"/>
    </row>
    <row r="801" ht="15.75" customHeight="1">
      <c r="A801" s="127"/>
      <c r="B801" s="211"/>
      <c r="D801" s="211"/>
    </row>
    <row r="802" ht="15.75" customHeight="1">
      <c r="A802" s="127"/>
      <c r="B802" s="211"/>
      <c r="D802" s="211"/>
    </row>
    <row r="803" ht="15.75" customHeight="1">
      <c r="A803" s="127"/>
      <c r="B803" s="211"/>
      <c r="D803" s="211"/>
    </row>
    <row r="804" ht="15.75" customHeight="1">
      <c r="A804" s="127"/>
      <c r="B804" s="211"/>
      <c r="D804" s="211"/>
    </row>
    <row r="805" ht="15.75" customHeight="1">
      <c r="A805" s="127"/>
      <c r="B805" s="211"/>
      <c r="D805" s="211"/>
    </row>
    <row r="806" ht="15.75" customHeight="1">
      <c r="A806" s="127"/>
      <c r="B806" s="211"/>
      <c r="D806" s="211"/>
    </row>
    <row r="807" ht="15.75" customHeight="1">
      <c r="A807" s="127"/>
      <c r="B807" s="211"/>
      <c r="D807" s="211"/>
    </row>
    <row r="808" ht="15.75" customHeight="1">
      <c r="A808" s="127"/>
      <c r="B808" s="211"/>
      <c r="D808" s="211"/>
    </row>
    <row r="809" ht="15.75" customHeight="1">
      <c r="A809" s="127"/>
      <c r="B809" s="211"/>
      <c r="D809" s="211"/>
    </row>
    <row r="810" ht="15.75" customHeight="1">
      <c r="A810" s="127"/>
      <c r="B810" s="211"/>
      <c r="D810" s="211"/>
    </row>
    <row r="811" ht="15.75" customHeight="1">
      <c r="A811" s="127"/>
      <c r="B811" s="211"/>
      <c r="D811" s="211"/>
    </row>
    <row r="812" ht="15.75" customHeight="1">
      <c r="A812" s="127"/>
      <c r="B812" s="211"/>
      <c r="D812" s="211"/>
    </row>
    <row r="813" ht="15.75" customHeight="1">
      <c r="A813" s="127"/>
      <c r="B813" s="211"/>
      <c r="D813" s="211"/>
    </row>
    <row r="814" ht="15.75" customHeight="1">
      <c r="A814" s="127"/>
      <c r="B814" s="211"/>
      <c r="D814" s="211"/>
    </row>
    <row r="815" ht="15.75" customHeight="1">
      <c r="A815" s="127"/>
      <c r="B815" s="211"/>
      <c r="D815" s="211"/>
    </row>
    <row r="816" ht="15.75" customHeight="1">
      <c r="A816" s="127"/>
      <c r="B816" s="211"/>
      <c r="D816" s="211"/>
    </row>
    <row r="817" ht="15.75" customHeight="1">
      <c r="A817" s="127"/>
      <c r="B817" s="211"/>
      <c r="D817" s="211"/>
    </row>
    <row r="818" ht="15.75" customHeight="1">
      <c r="A818" s="127"/>
      <c r="B818" s="211"/>
      <c r="D818" s="211"/>
    </row>
    <row r="819" ht="15.75" customHeight="1">
      <c r="A819" s="127"/>
      <c r="B819" s="211"/>
      <c r="D819" s="211"/>
    </row>
    <row r="820" ht="15.75" customHeight="1">
      <c r="A820" s="127"/>
      <c r="B820" s="211"/>
      <c r="D820" s="211"/>
    </row>
    <row r="821" ht="15.75" customHeight="1">
      <c r="A821" s="127"/>
      <c r="B821" s="211"/>
      <c r="D821" s="211"/>
    </row>
    <row r="822" ht="15.75" customHeight="1">
      <c r="A822" s="127"/>
      <c r="B822" s="211"/>
      <c r="D822" s="211"/>
    </row>
    <row r="823" ht="15.75" customHeight="1">
      <c r="A823" s="127"/>
      <c r="B823" s="211"/>
      <c r="D823" s="211"/>
    </row>
    <row r="824" ht="15.75" customHeight="1">
      <c r="A824" s="127"/>
      <c r="B824" s="211"/>
      <c r="D824" s="211"/>
    </row>
    <row r="825" ht="15.75" customHeight="1">
      <c r="A825" s="127"/>
      <c r="B825" s="211"/>
      <c r="D825" s="211"/>
    </row>
    <row r="826" ht="15.75" customHeight="1">
      <c r="A826" s="127"/>
      <c r="B826" s="211"/>
      <c r="D826" s="211"/>
    </row>
    <row r="827" ht="15.75" customHeight="1">
      <c r="A827" s="127"/>
      <c r="B827" s="211"/>
      <c r="D827" s="211"/>
    </row>
    <row r="828" ht="15.75" customHeight="1">
      <c r="A828" s="127"/>
      <c r="B828" s="211"/>
      <c r="D828" s="211"/>
    </row>
    <row r="829" ht="15.75" customHeight="1">
      <c r="A829" s="127"/>
      <c r="B829" s="211"/>
      <c r="D829" s="211"/>
    </row>
    <row r="830" ht="15.75" customHeight="1">
      <c r="A830" s="127"/>
      <c r="B830" s="211"/>
      <c r="D830" s="211"/>
    </row>
    <row r="831" ht="15.75" customHeight="1">
      <c r="A831" s="127"/>
      <c r="B831" s="211"/>
      <c r="D831" s="211"/>
    </row>
    <row r="832" ht="15.75" customHeight="1">
      <c r="A832" s="127"/>
      <c r="B832" s="211"/>
      <c r="D832" s="211"/>
    </row>
    <row r="833" ht="15.75" customHeight="1">
      <c r="A833" s="127"/>
      <c r="B833" s="211"/>
      <c r="D833" s="211"/>
    </row>
    <row r="834" ht="15.75" customHeight="1">
      <c r="A834" s="127"/>
      <c r="B834" s="211"/>
      <c r="D834" s="211"/>
    </row>
    <row r="835" ht="15.75" customHeight="1">
      <c r="A835" s="127"/>
      <c r="B835" s="211"/>
      <c r="D835" s="211"/>
    </row>
    <row r="836" ht="15.75" customHeight="1">
      <c r="A836" s="127"/>
      <c r="B836" s="211"/>
      <c r="D836" s="211"/>
    </row>
    <row r="837" ht="15.75" customHeight="1">
      <c r="A837" s="127"/>
      <c r="B837" s="211"/>
      <c r="D837" s="211"/>
    </row>
    <row r="838" ht="15.75" customHeight="1">
      <c r="A838" s="127"/>
      <c r="B838" s="211"/>
      <c r="D838" s="211"/>
    </row>
    <row r="839" ht="15.75" customHeight="1">
      <c r="A839" s="127"/>
      <c r="B839" s="211"/>
      <c r="D839" s="211"/>
    </row>
    <row r="840" ht="15.75" customHeight="1">
      <c r="A840" s="127"/>
      <c r="B840" s="211"/>
      <c r="D840" s="211"/>
    </row>
    <row r="841" ht="15.75" customHeight="1">
      <c r="A841" s="127"/>
      <c r="B841" s="211"/>
      <c r="D841" s="211"/>
    </row>
    <row r="842" ht="15.75" customHeight="1">
      <c r="A842" s="127"/>
      <c r="B842" s="211"/>
      <c r="D842" s="211"/>
    </row>
    <row r="843" ht="15.75" customHeight="1">
      <c r="A843" s="127"/>
      <c r="B843" s="211"/>
      <c r="D843" s="211"/>
    </row>
    <row r="844" ht="15.75" customHeight="1">
      <c r="A844" s="127"/>
      <c r="B844" s="211"/>
      <c r="D844" s="211"/>
    </row>
    <row r="845" ht="15.75" customHeight="1">
      <c r="A845" s="127"/>
      <c r="B845" s="211"/>
      <c r="D845" s="211"/>
    </row>
    <row r="846" ht="15.75" customHeight="1">
      <c r="A846" s="127"/>
      <c r="B846" s="211"/>
      <c r="D846" s="211"/>
    </row>
    <row r="847" ht="15.75" customHeight="1">
      <c r="A847" s="127"/>
      <c r="B847" s="211"/>
      <c r="D847" s="211"/>
    </row>
    <row r="848" ht="15.75" customHeight="1">
      <c r="A848" s="127"/>
      <c r="B848" s="211"/>
      <c r="D848" s="211"/>
    </row>
    <row r="849" ht="15.75" customHeight="1">
      <c r="A849" s="127"/>
      <c r="B849" s="211"/>
      <c r="D849" s="211"/>
    </row>
    <row r="850" ht="15.75" customHeight="1">
      <c r="A850" s="127"/>
      <c r="B850" s="211"/>
      <c r="D850" s="211"/>
    </row>
    <row r="851" ht="15.75" customHeight="1">
      <c r="A851" s="127"/>
      <c r="B851" s="211"/>
      <c r="D851" s="211"/>
    </row>
    <row r="852" ht="15.75" customHeight="1">
      <c r="A852" s="127"/>
      <c r="B852" s="211"/>
      <c r="D852" s="211"/>
    </row>
    <row r="853" ht="15.75" customHeight="1">
      <c r="A853" s="127"/>
      <c r="B853" s="211"/>
      <c r="D853" s="211"/>
    </row>
    <row r="854" ht="15.75" customHeight="1">
      <c r="A854" s="127"/>
      <c r="B854" s="211"/>
      <c r="D854" s="211"/>
    </row>
    <row r="855" ht="15.75" customHeight="1">
      <c r="A855" s="127"/>
      <c r="B855" s="211"/>
      <c r="D855" s="211"/>
    </row>
    <row r="856" ht="15.75" customHeight="1">
      <c r="A856" s="127"/>
      <c r="B856" s="211"/>
      <c r="D856" s="211"/>
    </row>
    <row r="857" ht="15.75" customHeight="1">
      <c r="A857" s="127"/>
      <c r="B857" s="211"/>
      <c r="D857" s="211"/>
    </row>
    <row r="858" ht="15.75" customHeight="1">
      <c r="A858" s="127"/>
      <c r="B858" s="211"/>
      <c r="D858" s="211"/>
    </row>
    <row r="859" ht="15.75" customHeight="1">
      <c r="A859" s="127"/>
      <c r="B859" s="211"/>
      <c r="D859" s="211"/>
    </row>
    <row r="860" ht="15.75" customHeight="1">
      <c r="A860" s="127"/>
      <c r="B860" s="211"/>
      <c r="D860" s="211"/>
    </row>
    <row r="861" ht="15.75" customHeight="1">
      <c r="A861" s="127"/>
      <c r="B861" s="211"/>
      <c r="D861" s="211"/>
    </row>
    <row r="862" ht="15.75" customHeight="1">
      <c r="A862" s="127"/>
      <c r="B862" s="211"/>
      <c r="D862" s="211"/>
    </row>
    <row r="863" ht="15.75" customHeight="1">
      <c r="A863" s="127"/>
      <c r="B863" s="211"/>
      <c r="D863" s="211"/>
    </row>
    <row r="864" ht="15.75" customHeight="1">
      <c r="A864" s="127"/>
      <c r="B864" s="211"/>
      <c r="D864" s="211"/>
    </row>
    <row r="865" ht="15.75" customHeight="1">
      <c r="A865" s="127"/>
      <c r="B865" s="211"/>
      <c r="D865" s="211"/>
    </row>
    <row r="866" ht="15.75" customHeight="1">
      <c r="A866" s="127"/>
      <c r="B866" s="211"/>
      <c r="D866" s="211"/>
    </row>
    <row r="867" ht="15.75" customHeight="1">
      <c r="A867" s="127"/>
      <c r="B867" s="211"/>
      <c r="D867" s="211"/>
    </row>
    <row r="868" ht="15.75" customHeight="1">
      <c r="A868" s="127"/>
      <c r="B868" s="211"/>
      <c r="D868" s="211"/>
    </row>
    <row r="869" ht="15.75" customHeight="1">
      <c r="A869" s="127"/>
      <c r="B869" s="211"/>
      <c r="D869" s="211"/>
    </row>
    <row r="870" ht="15.75" customHeight="1">
      <c r="A870" s="127"/>
      <c r="B870" s="211"/>
      <c r="D870" s="211"/>
    </row>
    <row r="871" ht="15.75" customHeight="1">
      <c r="A871" s="127"/>
      <c r="B871" s="211"/>
      <c r="D871" s="211"/>
    </row>
    <row r="872" ht="15.75" customHeight="1">
      <c r="A872" s="127"/>
      <c r="B872" s="211"/>
      <c r="D872" s="211"/>
    </row>
    <row r="873" ht="15.75" customHeight="1">
      <c r="A873" s="127"/>
      <c r="B873" s="211"/>
      <c r="D873" s="211"/>
    </row>
    <row r="874" ht="15.75" customHeight="1">
      <c r="A874" s="127"/>
      <c r="B874" s="211"/>
      <c r="D874" s="211"/>
    </row>
    <row r="875" ht="15.75" customHeight="1">
      <c r="A875" s="127"/>
      <c r="B875" s="211"/>
      <c r="D875" s="211"/>
    </row>
    <row r="876" ht="15.75" customHeight="1">
      <c r="A876" s="127"/>
      <c r="B876" s="211"/>
      <c r="D876" s="211"/>
    </row>
    <row r="877" ht="15.75" customHeight="1">
      <c r="A877" s="127"/>
      <c r="B877" s="211"/>
      <c r="D877" s="211"/>
    </row>
    <row r="878" ht="15.75" customHeight="1">
      <c r="A878" s="127"/>
      <c r="B878" s="211"/>
      <c r="D878" s="211"/>
    </row>
    <row r="879" ht="15.75" customHeight="1">
      <c r="A879" s="127"/>
      <c r="B879" s="211"/>
      <c r="D879" s="211"/>
    </row>
    <row r="880" ht="15.75" customHeight="1">
      <c r="A880" s="127"/>
      <c r="B880" s="211"/>
      <c r="D880" s="211"/>
    </row>
    <row r="881" ht="15.75" customHeight="1">
      <c r="A881" s="127"/>
      <c r="B881" s="211"/>
      <c r="D881" s="211"/>
    </row>
    <row r="882" ht="15.75" customHeight="1">
      <c r="A882" s="127"/>
      <c r="B882" s="211"/>
      <c r="D882" s="211"/>
    </row>
    <row r="883" ht="15.75" customHeight="1">
      <c r="A883" s="127"/>
      <c r="B883" s="211"/>
      <c r="D883" s="211"/>
    </row>
    <row r="884" ht="15.75" customHeight="1">
      <c r="A884" s="127"/>
      <c r="B884" s="211"/>
      <c r="D884" s="211"/>
    </row>
    <row r="885" ht="15.75" customHeight="1">
      <c r="A885" s="127"/>
      <c r="B885" s="211"/>
      <c r="D885" s="211"/>
    </row>
    <row r="886" ht="15.75" customHeight="1">
      <c r="A886" s="127"/>
      <c r="B886" s="211"/>
      <c r="D886" s="211"/>
    </row>
    <row r="887" ht="15.75" customHeight="1">
      <c r="A887" s="127"/>
      <c r="B887" s="211"/>
      <c r="D887" s="211"/>
    </row>
    <row r="888" ht="15.75" customHeight="1">
      <c r="A888" s="127"/>
      <c r="B888" s="211"/>
      <c r="D888" s="211"/>
    </row>
    <row r="889" ht="15.75" customHeight="1">
      <c r="A889" s="127"/>
      <c r="B889" s="211"/>
      <c r="D889" s="211"/>
    </row>
    <row r="890" ht="15.75" customHeight="1">
      <c r="A890" s="127"/>
      <c r="B890" s="211"/>
      <c r="D890" s="211"/>
    </row>
    <row r="891" ht="15.75" customHeight="1">
      <c r="A891" s="127"/>
      <c r="B891" s="211"/>
      <c r="D891" s="211"/>
    </row>
    <row r="892" ht="15.75" customHeight="1">
      <c r="A892" s="127"/>
      <c r="B892" s="211"/>
      <c r="D892" s="211"/>
    </row>
    <row r="893" ht="15.75" customHeight="1">
      <c r="A893" s="127"/>
      <c r="B893" s="211"/>
      <c r="D893" s="211"/>
    </row>
    <row r="894" ht="15.75" customHeight="1">
      <c r="A894" s="127"/>
      <c r="B894" s="211"/>
      <c r="D894" s="211"/>
    </row>
    <row r="895" ht="15.75" customHeight="1">
      <c r="A895" s="127"/>
      <c r="B895" s="211"/>
      <c r="D895" s="211"/>
    </row>
    <row r="896" ht="15.75" customHeight="1">
      <c r="A896" s="127"/>
      <c r="B896" s="211"/>
      <c r="D896" s="211"/>
    </row>
    <row r="897" ht="15.75" customHeight="1">
      <c r="A897" s="127"/>
      <c r="B897" s="211"/>
      <c r="D897" s="211"/>
    </row>
    <row r="898" ht="15.75" customHeight="1">
      <c r="A898" s="127"/>
      <c r="B898" s="211"/>
      <c r="D898" s="211"/>
    </row>
    <row r="899" ht="15.75" customHeight="1">
      <c r="A899" s="127"/>
      <c r="B899" s="211"/>
      <c r="D899" s="211"/>
    </row>
    <row r="900" ht="15.75" customHeight="1">
      <c r="A900" s="127"/>
      <c r="B900" s="211"/>
      <c r="D900" s="211"/>
    </row>
    <row r="901" ht="15.75" customHeight="1">
      <c r="A901" s="127"/>
      <c r="B901" s="211"/>
      <c r="D901" s="211"/>
    </row>
    <row r="902" ht="15.75" customHeight="1">
      <c r="A902" s="127"/>
      <c r="B902" s="211"/>
      <c r="D902" s="211"/>
    </row>
    <row r="903" ht="15.75" customHeight="1">
      <c r="A903" s="127"/>
      <c r="B903" s="211"/>
      <c r="D903" s="211"/>
    </row>
    <row r="904" ht="15.75" customHeight="1">
      <c r="A904" s="127"/>
      <c r="B904" s="211"/>
      <c r="D904" s="211"/>
    </row>
    <row r="905" ht="15.75" customHeight="1">
      <c r="A905" s="127"/>
      <c r="B905" s="211"/>
      <c r="D905" s="211"/>
    </row>
    <row r="906" ht="15.75" customHeight="1">
      <c r="A906" s="127"/>
      <c r="B906" s="211"/>
      <c r="D906" s="211"/>
    </row>
    <row r="907" ht="15.75" customHeight="1">
      <c r="A907" s="127"/>
      <c r="B907" s="211"/>
      <c r="D907" s="211"/>
    </row>
    <row r="908" ht="15.75" customHeight="1">
      <c r="A908" s="127"/>
      <c r="B908" s="211"/>
      <c r="D908" s="211"/>
    </row>
    <row r="909" ht="15.75" customHeight="1">
      <c r="A909" s="127"/>
      <c r="B909" s="211"/>
      <c r="D909" s="211"/>
    </row>
    <row r="910" ht="15.75" customHeight="1">
      <c r="A910" s="127"/>
      <c r="B910" s="211"/>
      <c r="D910" s="211"/>
    </row>
    <row r="911" ht="15.75" customHeight="1">
      <c r="A911" s="127"/>
      <c r="B911" s="211"/>
      <c r="D911" s="211"/>
    </row>
    <row r="912" ht="15.75" customHeight="1">
      <c r="A912" s="127"/>
      <c r="B912" s="211"/>
      <c r="D912" s="211"/>
    </row>
    <row r="913" ht="15.75" customHeight="1">
      <c r="A913" s="127"/>
      <c r="B913" s="211"/>
      <c r="D913" s="211"/>
    </row>
    <row r="914" ht="15.75" customHeight="1">
      <c r="A914" s="127"/>
      <c r="B914" s="211"/>
      <c r="D914" s="211"/>
    </row>
    <row r="915" ht="15.75" customHeight="1">
      <c r="A915" s="127"/>
      <c r="B915" s="211"/>
      <c r="D915" s="211"/>
    </row>
    <row r="916" ht="15.75" customHeight="1">
      <c r="A916" s="127"/>
      <c r="B916" s="211"/>
      <c r="D916" s="211"/>
    </row>
    <row r="917" ht="15.75" customHeight="1">
      <c r="A917" s="127"/>
      <c r="B917" s="211"/>
      <c r="D917" s="211"/>
    </row>
    <row r="918" ht="15.75" customHeight="1">
      <c r="A918" s="127"/>
      <c r="B918" s="211"/>
      <c r="D918" s="211"/>
    </row>
    <row r="919" ht="15.75" customHeight="1">
      <c r="A919" s="127"/>
      <c r="B919" s="211"/>
      <c r="D919" s="211"/>
    </row>
    <row r="920" ht="15.75" customHeight="1">
      <c r="A920" s="127"/>
      <c r="B920" s="211"/>
      <c r="D920" s="211"/>
    </row>
    <row r="921" ht="15.75" customHeight="1">
      <c r="A921" s="127"/>
      <c r="B921" s="211"/>
      <c r="D921" s="211"/>
    </row>
    <row r="922" ht="15.75" customHeight="1">
      <c r="A922" s="127"/>
      <c r="B922" s="211"/>
      <c r="D922" s="211"/>
    </row>
    <row r="923" ht="15.75" customHeight="1">
      <c r="A923" s="127"/>
      <c r="B923" s="211"/>
      <c r="D923" s="211"/>
    </row>
    <row r="924" ht="15.75" customHeight="1">
      <c r="A924" s="127"/>
      <c r="B924" s="211"/>
      <c r="D924" s="211"/>
    </row>
    <row r="925" ht="15.75" customHeight="1">
      <c r="A925" s="127"/>
      <c r="B925" s="211"/>
      <c r="D925" s="211"/>
    </row>
    <row r="926" ht="15.75" customHeight="1">
      <c r="A926" s="127"/>
      <c r="B926" s="211"/>
      <c r="D926" s="211"/>
    </row>
    <row r="927" ht="15.75" customHeight="1">
      <c r="A927" s="127"/>
      <c r="B927" s="211"/>
      <c r="D927" s="211"/>
    </row>
    <row r="928" ht="15.75" customHeight="1">
      <c r="A928" s="127"/>
      <c r="B928" s="211"/>
      <c r="D928" s="211"/>
    </row>
    <row r="929" ht="15.75" customHeight="1">
      <c r="A929" s="127"/>
      <c r="B929" s="211"/>
      <c r="D929" s="211"/>
    </row>
    <row r="930" ht="15.75" customHeight="1">
      <c r="A930" s="127"/>
      <c r="B930" s="211"/>
      <c r="D930" s="211"/>
    </row>
    <row r="931" ht="15.75" customHeight="1">
      <c r="A931" s="127"/>
      <c r="B931" s="211"/>
      <c r="D931" s="211"/>
    </row>
    <row r="932" ht="15.75" customHeight="1">
      <c r="A932" s="127"/>
      <c r="B932" s="211"/>
      <c r="D932" s="211"/>
    </row>
    <row r="933" ht="15.75" customHeight="1">
      <c r="A933" s="127"/>
      <c r="B933" s="211"/>
      <c r="D933" s="211"/>
    </row>
    <row r="934" ht="15.75" customHeight="1">
      <c r="A934" s="127"/>
      <c r="B934" s="211"/>
      <c r="D934" s="211"/>
    </row>
    <row r="935" ht="15.75" customHeight="1">
      <c r="A935" s="127"/>
      <c r="B935" s="211"/>
      <c r="D935" s="211"/>
    </row>
    <row r="936" ht="15.75" customHeight="1">
      <c r="A936" s="127"/>
      <c r="B936" s="211"/>
      <c r="D936" s="211"/>
    </row>
    <row r="937" ht="15.75" customHeight="1">
      <c r="A937" s="127"/>
      <c r="B937" s="211"/>
      <c r="D937" s="211"/>
    </row>
    <row r="938" ht="15.75" customHeight="1">
      <c r="A938" s="127"/>
      <c r="B938" s="211"/>
      <c r="D938" s="211"/>
    </row>
    <row r="939" ht="15.75" customHeight="1">
      <c r="A939" s="127"/>
      <c r="B939" s="211"/>
      <c r="D939" s="211"/>
    </row>
    <row r="940" ht="15.75" customHeight="1">
      <c r="A940" s="127"/>
      <c r="B940" s="211"/>
      <c r="D940" s="211"/>
    </row>
    <row r="941" ht="15.75" customHeight="1">
      <c r="A941" s="127"/>
      <c r="B941" s="211"/>
      <c r="D941" s="211"/>
    </row>
    <row r="942" ht="15.75" customHeight="1">
      <c r="A942" s="127"/>
      <c r="B942" s="211"/>
      <c r="D942" s="211"/>
    </row>
    <row r="943" ht="15.75" customHeight="1">
      <c r="A943" s="127"/>
      <c r="B943" s="211"/>
      <c r="D943" s="211"/>
    </row>
    <row r="944" ht="15.75" customHeight="1">
      <c r="A944" s="127"/>
      <c r="B944" s="211"/>
      <c r="D944" s="211"/>
    </row>
    <row r="945" ht="15.75" customHeight="1">
      <c r="A945" s="127"/>
      <c r="B945" s="211"/>
      <c r="D945" s="211"/>
    </row>
    <row r="946" ht="15.75" customHeight="1">
      <c r="A946" s="127"/>
      <c r="B946" s="211"/>
      <c r="D946" s="211"/>
    </row>
    <row r="947" ht="15.75" customHeight="1">
      <c r="A947" s="127"/>
      <c r="B947" s="211"/>
      <c r="D947" s="211"/>
    </row>
    <row r="948" ht="15.75" customHeight="1">
      <c r="A948" s="127"/>
      <c r="B948" s="211"/>
      <c r="D948" s="211"/>
    </row>
    <row r="949" ht="15.75" customHeight="1">
      <c r="A949" s="127"/>
      <c r="B949" s="211"/>
      <c r="D949" s="211"/>
    </row>
    <row r="950" ht="15.75" customHeight="1">
      <c r="A950" s="127"/>
      <c r="B950" s="211"/>
      <c r="D950" s="211"/>
    </row>
    <row r="951" ht="15.75" customHeight="1">
      <c r="A951" s="127"/>
      <c r="B951" s="211"/>
      <c r="D951" s="211"/>
    </row>
    <row r="952" ht="15.75" customHeight="1">
      <c r="A952" s="127"/>
      <c r="B952" s="211"/>
      <c r="D952" s="211"/>
    </row>
    <row r="953" ht="15.75" customHeight="1">
      <c r="A953" s="127"/>
      <c r="B953" s="211"/>
      <c r="D953" s="211"/>
    </row>
    <row r="954" ht="15.75" customHeight="1">
      <c r="A954" s="127"/>
      <c r="B954" s="211"/>
      <c r="D954" s="211"/>
    </row>
    <row r="955" ht="15.75" customHeight="1">
      <c r="A955" s="127"/>
      <c r="B955" s="211"/>
      <c r="D955" s="211"/>
    </row>
    <row r="956" ht="15.75" customHeight="1">
      <c r="A956" s="127"/>
      <c r="B956" s="211"/>
      <c r="D956" s="211"/>
    </row>
    <row r="957" ht="15.75" customHeight="1">
      <c r="A957" s="127"/>
      <c r="B957" s="211"/>
      <c r="D957" s="211"/>
    </row>
    <row r="958" ht="15.75" customHeight="1">
      <c r="A958" s="127"/>
      <c r="B958" s="211"/>
      <c r="D958" s="211"/>
    </row>
    <row r="959" ht="15.75" customHeight="1">
      <c r="A959" s="127"/>
      <c r="B959" s="211"/>
      <c r="D959" s="211"/>
    </row>
    <row r="960" ht="15.75" customHeight="1">
      <c r="A960" s="127"/>
      <c r="B960" s="211"/>
      <c r="D960" s="211"/>
    </row>
    <row r="961" ht="15.75" customHeight="1">
      <c r="A961" s="127"/>
      <c r="B961" s="211"/>
      <c r="D961" s="211"/>
    </row>
    <row r="962" ht="15.75" customHeight="1">
      <c r="A962" s="127"/>
      <c r="B962" s="211"/>
      <c r="D962" s="211"/>
    </row>
    <row r="963" ht="15.75" customHeight="1">
      <c r="A963" s="127"/>
      <c r="B963" s="211"/>
      <c r="D963" s="211"/>
    </row>
    <row r="964" ht="15.75" customHeight="1">
      <c r="A964" s="127"/>
      <c r="B964" s="211"/>
      <c r="D964" s="211"/>
    </row>
    <row r="965" ht="15.75" customHeight="1">
      <c r="A965" s="127"/>
      <c r="B965" s="211"/>
      <c r="D965" s="211"/>
    </row>
    <row r="966" ht="15.75" customHeight="1">
      <c r="A966" s="127"/>
      <c r="B966" s="211"/>
      <c r="D966" s="211"/>
    </row>
    <row r="967" ht="15.75" customHeight="1">
      <c r="A967" s="127"/>
      <c r="B967" s="211"/>
      <c r="D967" s="211"/>
    </row>
    <row r="968" ht="15.75" customHeight="1">
      <c r="A968" s="127"/>
      <c r="B968" s="211"/>
      <c r="D968" s="211"/>
    </row>
    <row r="969" ht="15.75" customHeight="1">
      <c r="A969" s="127"/>
      <c r="B969" s="211"/>
      <c r="D969" s="211"/>
    </row>
    <row r="970" ht="15.75" customHeight="1">
      <c r="A970" s="127"/>
      <c r="B970" s="211"/>
      <c r="D970" s="211"/>
    </row>
    <row r="971" ht="15.75" customHeight="1">
      <c r="A971" s="127"/>
      <c r="B971" s="211"/>
      <c r="D971" s="211"/>
    </row>
    <row r="972" ht="15.75" customHeight="1">
      <c r="A972" s="127"/>
      <c r="B972" s="211"/>
      <c r="D972" s="211"/>
    </row>
    <row r="973" ht="15.75" customHeight="1">
      <c r="A973" s="127"/>
      <c r="B973" s="211"/>
      <c r="D973" s="211"/>
    </row>
    <row r="974" ht="15.75" customHeight="1">
      <c r="A974" s="127"/>
      <c r="B974" s="211"/>
      <c r="D974" s="211"/>
    </row>
    <row r="975" ht="15.75" customHeight="1">
      <c r="A975" s="127"/>
      <c r="B975" s="211"/>
      <c r="D975" s="211"/>
    </row>
    <row r="976" ht="15.75" customHeight="1">
      <c r="A976" s="127"/>
      <c r="B976" s="211"/>
      <c r="D976" s="211"/>
    </row>
    <row r="977" ht="15.75" customHeight="1">
      <c r="A977" s="127"/>
      <c r="B977" s="211"/>
      <c r="D977" s="211"/>
    </row>
    <row r="978" ht="15.75" customHeight="1">
      <c r="A978" s="127"/>
      <c r="B978" s="211"/>
      <c r="D978" s="211"/>
    </row>
    <row r="979" ht="15.75" customHeight="1">
      <c r="A979" s="127"/>
      <c r="B979" s="211"/>
      <c r="D979" s="211"/>
    </row>
    <row r="980" ht="15.75" customHeight="1">
      <c r="A980" s="127"/>
      <c r="B980" s="211"/>
      <c r="D980" s="211"/>
    </row>
    <row r="981" ht="15.75" customHeight="1">
      <c r="A981" s="127"/>
      <c r="B981" s="211"/>
      <c r="D981" s="211"/>
    </row>
    <row r="982" ht="15.75" customHeight="1">
      <c r="A982" s="127"/>
      <c r="B982" s="211"/>
      <c r="D982" s="211"/>
    </row>
    <row r="983" ht="15.75" customHeight="1">
      <c r="A983" s="127"/>
      <c r="B983" s="211"/>
      <c r="D983" s="211"/>
    </row>
    <row r="984" ht="15.75" customHeight="1">
      <c r="A984" s="127"/>
      <c r="B984" s="211"/>
      <c r="D984" s="211"/>
    </row>
    <row r="985" ht="15.75" customHeight="1">
      <c r="A985" s="127"/>
      <c r="B985" s="211"/>
      <c r="D985" s="211"/>
    </row>
    <row r="986" ht="15.75" customHeight="1">
      <c r="A986" s="127"/>
      <c r="B986" s="211"/>
      <c r="D986" s="211"/>
    </row>
    <row r="987" ht="15.75" customHeight="1">
      <c r="A987" s="127"/>
      <c r="B987" s="211"/>
      <c r="D987" s="211"/>
    </row>
    <row r="988" ht="15.75" customHeight="1">
      <c r="A988" s="127"/>
      <c r="B988" s="211"/>
      <c r="D988" s="211"/>
    </row>
    <row r="989" ht="15.75" customHeight="1">
      <c r="A989" s="127"/>
      <c r="B989" s="211"/>
      <c r="D989" s="211"/>
    </row>
    <row r="990" ht="15.75" customHeight="1">
      <c r="A990" s="127"/>
      <c r="B990" s="211"/>
      <c r="D990" s="211"/>
    </row>
    <row r="991" ht="15.75" customHeight="1">
      <c r="A991" s="127"/>
      <c r="B991" s="211"/>
      <c r="D991" s="211"/>
    </row>
    <row r="992" ht="15.75" customHeight="1">
      <c r="A992" s="127"/>
      <c r="B992" s="211"/>
      <c r="D992" s="211"/>
    </row>
    <row r="993" ht="15.75" customHeight="1">
      <c r="A993" s="127"/>
      <c r="B993" s="211"/>
      <c r="D993" s="211"/>
    </row>
    <row r="994" ht="15.75" customHeight="1">
      <c r="A994" s="127"/>
      <c r="B994" s="211"/>
      <c r="D994" s="211"/>
    </row>
    <row r="995" ht="15.75" customHeight="1">
      <c r="A995" s="127"/>
      <c r="B995" s="211"/>
      <c r="D995" s="211"/>
    </row>
    <row r="996" ht="15.75" customHeight="1">
      <c r="A996" s="127"/>
      <c r="B996" s="211"/>
      <c r="D996" s="211"/>
    </row>
    <row r="997" ht="15.75" customHeight="1">
      <c r="A997" s="127"/>
      <c r="B997" s="211"/>
      <c r="D997" s="211"/>
    </row>
    <row r="998" ht="15.75" customHeight="1">
      <c r="A998" s="127"/>
      <c r="B998" s="211"/>
      <c r="D998" s="211"/>
    </row>
    <row r="999" ht="15.75" customHeight="1">
      <c r="A999" s="127"/>
      <c r="B999" s="211"/>
      <c r="D999" s="211"/>
    </row>
    <row r="1000" ht="15.75" customHeight="1">
      <c r="A1000" s="127"/>
      <c r="B1000" s="211"/>
      <c r="D1000" s="211"/>
    </row>
    <row r="1001" ht="15.75" customHeight="1">
      <c r="A1001" s="127"/>
      <c r="B1001" s="211"/>
      <c r="D1001" s="211"/>
    </row>
    <row r="1002" ht="15.75" customHeight="1">
      <c r="A1002" s="127"/>
      <c r="B1002" s="211"/>
      <c r="D1002" s="211"/>
    </row>
    <row r="1003" ht="15.75" customHeight="1">
      <c r="A1003" s="127"/>
      <c r="B1003" s="211"/>
      <c r="D1003" s="211"/>
    </row>
    <row r="1004" ht="15.75" customHeight="1">
      <c r="A1004" s="127"/>
      <c r="B1004" s="211"/>
      <c r="D1004" s="211"/>
    </row>
    <row r="1005" ht="15.75" customHeight="1">
      <c r="A1005" s="127"/>
      <c r="B1005" s="211"/>
      <c r="D1005" s="211"/>
    </row>
    <row r="1006" ht="15.75" customHeight="1">
      <c r="A1006" s="127"/>
      <c r="B1006" s="211"/>
      <c r="D1006" s="211"/>
    </row>
    <row r="1007" ht="15.75" customHeight="1">
      <c r="A1007" s="127"/>
      <c r="B1007" s="211"/>
      <c r="D1007" s="211"/>
    </row>
    <row r="1008" ht="15.75" customHeight="1">
      <c r="A1008" s="127"/>
      <c r="B1008" s="211"/>
      <c r="D1008" s="211"/>
    </row>
    <row r="1009" ht="15.75" customHeight="1">
      <c r="A1009" s="127"/>
      <c r="B1009" s="211"/>
      <c r="D1009" s="211"/>
    </row>
    <row r="1010" ht="15.75" customHeight="1">
      <c r="A1010" s="127"/>
      <c r="B1010" s="211"/>
      <c r="D1010" s="211"/>
    </row>
    <row r="1011" ht="15.75" customHeight="1">
      <c r="A1011" s="127"/>
      <c r="B1011" s="211"/>
      <c r="D1011" s="211"/>
    </row>
    <row r="1012" ht="15.75" customHeight="1">
      <c r="A1012" s="127"/>
      <c r="B1012" s="211"/>
      <c r="D1012" s="211"/>
    </row>
    <row r="1013" ht="15.75" customHeight="1">
      <c r="A1013" s="127"/>
      <c r="B1013" s="211"/>
      <c r="D1013" s="211"/>
    </row>
    <row r="1014" ht="15.75" customHeight="1">
      <c r="A1014" s="127"/>
      <c r="B1014" s="211"/>
      <c r="D1014" s="211"/>
    </row>
    <row r="1015" ht="15.75" customHeight="1">
      <c r="A1015" s="127"/>
      <c r="B1015" s="211"/>
      <c r="D1015" s="211"/>
    </row>
    <row r="1016" ht="15.75" customHeight="1">
      <c r="A1016" s="127"/>
      <c r="B1016" s="211"/>
      <c r="D1016" s="211"/>
    </row>
    <row r="1017" ht="15.75" customHeight="1">
      <c r="A1017" s="127"/>
      <c r="B1017" s="211"/>
      <c r="D1017" s="211"/>
    </row>
    <row r="1018" ht="15.75" customHeight="1">
      <c r="A1018" s="127"/>
      <c r="B1018" s="211"/>
      <c r="D1018" s="211"/>
    </row>
  </sheetData>
  <mergeCells count="19">
    <mergeCell ref="N2:N3"/>
    <mergeCell ref="O2:O3"/>
    <mergeCell ref="G26:H26"/>
    <mergeCell ref="B49:C49"/>
    <mergeCell ref="P2:P3"/>
    <mergeCell ref="Q2:Q3"/>
    <mergeCell ref="R2:R3"/>
    <mergeCell ref="S2:S3"/>
    <mergeCell ref="T2:T3"/>
    <mergeCell ref="U2:U3"/>
    <mergeCell ref="Y105:Z105"/>
    <mergeCell ref="A1:D1"/>
    <mergeCell ref="F1:I1"/>
    <mergeCell ref="K1:V1"/>
    <mergeCell ref="X1:AD1"/>
    <mergeCell ref="K2:K3"/>
    <mergeCell ref="L2:L3"/>
    <mergeCell ref="M2:M3"/>
    <mergeCell ref="V2:V3"/>
  </mergeCells>
  <conditionalFormatting sqref="V4:V14 S18:S28 R33:R34 R36:R41 N45:N55">
    <cfRule type="cellIs" dxfId="1" priority="1" operator="notEqual">
      <formula>0</formula>
    </cfRule>
  </conditionalFormatting>
  <dataValidations>
    <dataValidation type="list" allowBlank="1" showErrorMessage="1" sqref="F3:F25 H3:H25">
      <formula1>"NONE,2.7KG,2.7KG FIESTA,7KG PASAK,7KG RUSKAS,11KG PASAK,11KG RUSKAS,ELITE PASAK,ELITE RUSKAS,22KG,50KG BLUE,50KG CODED"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0.29"/>
    <col customWidth="1" min="3" max="3" width="9.14"/>
    <col customWidth="1" min="4" max="4" width="16.29"/>
    <col customWidth="1" min="5" max="5" width="9.14"/>
    <col customWidth="1" min="6" max="6" width="21.43"/>
    <col customWidth="1" min="7" max="7" width="18.86"/>
    <col customWidth="1" min="8" max="8" width="20.57"/>
    <col customWidth="1" min="9" max="9" width="15.71"/>
    <col customWidth="1" min="10" max="10" width="9.14"/>
    <col customWidth="1" min="11" max="11" width="38.29"/>
    <col customWidth="1" min="12" max="12" width="12.43"/>
    <col customWidth="1" min="13" max="14" width="12.14"/>
    <col customWidth="1" min="15" max="15" width="12.86"/>
    <col customWidth="1" min="16" max="16" width="13.43"/>
    <col customWidth="1" min="17" max="17" width="13.29"/>
    <col customWidth="1" min="18" max="18" width="14.0"/>
    <col customWidth="1" min="19" max="19" width="13.29"/>
    <col customWidth="1" min="20" max="20" width="11.0"/>
    <col customWidth="1" min="21" max="21" width="10.29"/>
    <col customWidth="1" min="22" max="22" width="10.71"/>
    <col customWidth="1" min="23" max="23" width="10.43"/>
  </cols>
  <sheetData>
    <row r="1" ht="14.25" customHeight="1">
      <c r="A1" s="62"/>
      <c r="B1" s="63"/>
      <c r="C1" s="63"/>
      <c r="D1" s="64"/>
      <c r="E1" s="65"/>
      <c r="F1" s="66" t="s">
        <v>74</v>
      </c>
      <c r="G1" s="63"/>
      <c r="H1" s="63"/>
      <c r="I1" s="64"/>
      <c r="J1" s="65"/>
      <c r="K1" s="67" t="s">
        <v>75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8"/>
      <c r="X1" s="69" t="s">
        <v>76</v>
      </c>
      <c r="Y1" s="63"/>
      <c r="Z1" s="63"/>
      <c r="AA1" s="63"/>
      <c r="AB1" s="63"/>
      <c r="AC1" s="63"/>
      <c r="AD1" s="64"/>
    </row>
    <row r="2" ht="14.25" customHeight="1">
      <c r="A2" s="70" t="s">
        <v>77</v>
      </c>
      <c r="B2" s="71" t="s">
        <v>78</v>
      </c>
      <c r="C2" s="72" t="s">
        <v>79</v>
      </c>
      <c r="D2" s="73" t="s">
        <v>80</v>
      </c>
      <c r="E2" s="65"/>
      <c r="F2" s="72" t="s">
        <v>81</v>
      </c>
      <c r="G2" s="71" t="s">
        <v>82</v>
      </c>
      <c r="H2" s="72" t="s">
        <v>83</v>
      </c>
      <c r="I2" s="74" t="s">
        <v>80</v>
      </c>
      <c r="J2" s="65"/>
      <c r="K2" s="75" t="s">
        <v>84</v>
      </c>
      <c r="L2" s="76" t="s">
        <v>85</v>
      </c>
      <c r="M2" s="77" t="s">
        <v>86</v>
      </c>
      <c r="N2" s="77" t="s">
        <v>87</v>
      </c>
      <c r="O2" s="75" t="s">
        <v>79</v>
      </c>
      <c r="P2" s="75" t="s">
        <v>88</v>
      </c>
      <c r="Q2" s="78" t="s">
        <v>89</v>
      </c>
      <c r="R2" s="78" t="s">
        <v>90</v>
      </c>
      <c r="S2" s="78" t="s">
        <v>91</v>
      </c>
      <c r="T2" s="79" t="s">
        <v>92</v>
      </c>
      <c r="U2" s="79" t="s">
        <v>93</v>
      </c>
      <c r="V2" s="80" t="s">
        <v>94</v>
      </c>
      <c r="W2" s="68"/>
      <c r="X2" s="72" t="s">
        <v>95</v>
      </c>
      <c r="Y2" s="72" t="s">
        <v>96</v>
      </c>
      <c r="Z2" s="72" t="s">
        <v>97</v>
      </c>
      <c r="AA2" s="72" t="s">
        <v>98</v>
      </c>
      <c r="AB2" s="72" t="s">
        <v>99</v>
      </c>
      <c r="AC2" s="72" t="s">
        <v>100</v>
      </c>
      <c r="AD2" s="72" t="s">
        <v>101</v>
      </c>
    </row>
    <row r="3" ht="14.25" customHeight="1">
      <c r="A3" s="82" t="s">
        <v>102</v>
      </c>
      <c r="B3" s="83"/>
      <c r="C3" s="84"/>
      <c r="D3" s="85"/>
      <c r="E3" s="65"/>
      <c r="F3" s="86" t="s">
        <v>108</v>
      </c>
      <c r="G3" s="87"/>
      <c r="H3" s="88" t="s">
        <v>108</v>
      </c>
      <c r="I3" s="89" t="str">
        <f t="shared" ref="I3:I25" si="1">IF(AND(F3&lt;&gt;"NONE",H3&lt;&gt;"NONE", G3&gt;0),VLOOKUP(H3,$A$52:$B$63,2,FALSE)-G3+VLOOKUP(H3,$A$25:$B$36,2,FALSE),"")</f>
        <v/>
      </c>
      <c r="J3" s="65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68"/>
      <c r="X3" s="86">
        <v>207801.0</v>
      </c>
      <c r="Y3" s="88" t="s">
        <v>350</v>
      </c>
      <c r="Z3" s="88" t="s">
        <v>154</v>
      </c>
      <c r="AA3" s="88">
        <v>280.0</v>
      </c>
      <c r="AB3" s="231"/>
      <c r="AC3" s="231"/>
      <c r="AD3" s="232"/>
    </row>
    <row r="4" ht="14.25" customHeight="1">
      <c r="A4" s="95" t="s">
        <v>107</v>
      </c>
      <c r="B4" s="12">
        <v>650.0</v>
      </c>
      <c r="C4" s="96">
        <v>0.0</v>
      </c>
      <c r="D4" s="97">
        <f t="shared" ref="D4:D5" si="2">C4*B4</f>
        <v>0</v>
      </c>
      <c r="E4" s="65"/>
      <c r="F4" s="98" t="s">
        <v>108</v>
      </c>
      <c r="G4" s="16"/>
      <c r="H4" s="96" t="s">
        <v>108</v>
      </c>
      <c r="I4" s="89" t="str">
        <f t="shared" si="1"/>
        <v/>
      </c>
      <c r="J4" s="65"/>
      <c r="K4" s="95" t="s">
        <v>109</v>
      </c>
      <c r="L4" s="189">
        <f>'DAILY STOCKS (F)'!U4</f>
        <v>27</v>
      </c>
      <c r="M4" s="99">
        <v>0.0</v>
      </c>
      <c r="N4" s="99">
        <v>0.0</v>
      </c>
      <c r="O4" s="100">
        <f t="shared" ref="O4:O14" si="3">C14</f>
        <v>0</v>
      </c>
      <c r="P4" s="100">
        <f t="shared" ref="P4:P14" si="4">C26</f>
        <v>9</v>
      </c>
      <c r="Q4" s="100">
        <f t="shared" ref="Q4:Q14" si="5">COUNTIF($H$3:$H$25,K4)</f>
        <v>0</v>
      </c>
      <c r="R4" s="101">
        <f t="shared" ref="R4:R14" si="6">C38</f>
        <v>0</v>
      </c>
      <c r="S4" s="109"/>
      <c r="T4" s="100">
        <f t="shared" ref="T4:T14" si="7">L4+M4+N4-O4-P4-Q4-R4-S4</f>
        <v>18</v>
      </c>
      <c r="U4" s="102">
        <v>18.0</v>
      </c>
      <c r="V4" s="103">
        <f t="shared" ref="V4:V14" si="8">U4-T4</f>
        <v>0</v>
      </c>
      <c r="W4" s="68"/>
      <c r="X4" s="98">
        <v>207802.0</v>
      </c>
      <c r="Y4" s="96" t="s">
        <v>267</v>
      </c>
      <c r="Z4" s="96" t="s">
        <v>154</v>
      </c>
      <c r="AA4" s="96">
        <v>1789.0</v>
      </c>
      <c r="AB4" s="96">
        <v>176.0</v>
      </c>
      <c r="AC4" s="104"/>
      <c r="AD4" s="105"/>
    </row>
    <row r="5" ht="14.25" customHeight="1">
      <c r="A5" s="95" t="s">
        <v>111</v>
      </c>
      <c r="B5" s="12">
        <v>375.0</v>
      </c>
      <c r="C5" s="106">
        <v>0.0</v>
      </c>
      <c r="D5" s="97">
        <f t="shared" si="2"/>
        <v>0</v>
      </c>
      <c r="E5" s="65"/>
      <c r="F5" s="98" t="s">
        <v>108</v>
      </c>
      <c r="G5" s="12"/>
      <c r="H5" s="96" t="s">
        <v>108</v>
      </c>
      <c r="I5" s="89" t="str">
        <f t="shared" si="1"/>
        <v/>
      </c>
      <c r="J5" s="65"/>
      <c r="K5" s="107" t="s">
        <v>112</v>
      </c>
      <c r="L5" s="189">
        <f>'DAILY STOCKS (F)'!U5</f>
        <v>6</v>
      </c>
      <c r="M5" s="108">
        <v>0.0</v>
      </c>
      <c r="N5" s="99">
        <v>0.0</v>
      </c>
      <c r="O5" s="100">
        <f t="shared" si="3"/>
        <v>0</v>
      </c>
      <c r="P5" s="100">
        <f t="shared" si="4"/>
        <v>1</v>
      </c>
      <c r="Q5" s="100">
        <f t="shared" si="5"/>
        <v>0</v>
      </c>
      <c r="R5" s="101">
        <f t="shared" si="6"/>
        <v>0</v>
      </c>
      <c r="S5" s="109"/>
      <c r="T5" s="100">
        <f t="shared" si="7"/>
        <v>5</v>
      </c>
      <c r="U5" s="102">
        <v>5.0</v>
      </c>
      <c r="V5" s="103">
        <f t="shared" si="8"/>
        <v>0</v>
      </c>
      <c r="W5" s="68"/>
      <c r="X5" s="98">
        <v>207803.0</v>
      </c>
      <c r="Y5" s="96" t="s">
        <v>351</v>
      </c>
      <c r="Z5" s="96" t="s">
        <v>181</v>
      </c>
      <c r="AA5" s="96">
        <v>963.0</v>
      </c>
      <c r="AB5" s="96">
        <v>50.0</v>
      </c>
      <c r="AC5" s="104"/>
      <c r="AD5" s="105"/>
    </row>
    <row r="6" ht="14.25" customHeight="1">
      <c r="A6" s="110" t="s">
        <v>114</v>
      </c>
      <c r="B6" s="111"/>
      <c r="C6" s="112"/>
      <c r="D6" s="113"/>
      <c r="E6" s="65"/>
      <c r="F6" s="98" t="s">
        <v>108</v>
      </c>
      <c r="G6" s="12"/>
      <c r="H6" s="96" t="s">
        <v>108</v>
      </c>
      <c r="I6" s="89" t="str">
        <f t="shared" si="1"/>
        <v/>
      </c>
      <c r="J6" s="65"/>
      <c r="K6" s="107" t="s">
        <v>115</v>
      </c>
      <c r="L6" s="189">
        <f>'DAILY STOCKS (F)'!U6</f>
        <v>9</v>
      </c>
      <c r="M6" s="108">
        <v>0.0</v>
      </c>
      <c r="N6" s="99">
        <v>0.0</v>
      </c>
      <c r="O6" s="100">
        <f t="shared" si="3"/>
        <v>0</v>
      </c>
      <c r="P6" s="100">
        <f t="shared" si="4"/>
        <v>1</v>
      </c>
      <c r="Q6" s="100">
        <f t="shared" si="5"/>
        <v>0</v>
      </c>
      <c r="R6" s="101">
        <f t="shared" si="6"/>
        <v>0</v>
      </c>
      <c r="S6" s="109"/>
      <c r="T6" s="100">
        <f t="shared" si="7"/>
        <v>8</v>
      </c>
      <c r="U6" s="102">
        <v>8.0</v>
      </c>
      <c r="V6" s="103">
        <f t="shared" si="8"/>
        <v>0</v>
      </c>
      <c r="W6" s="68"/>
      <c r="X6" s="98">
        <v>207804.0</v>
      </c>
      <c r="Y6" s="96" t="s">
        <v>352</v>
      </c>
      <c r="Z6" s="96" t="s">
        <v>172</v>
      </c>
      <c r="AA6" s="96">
        <v>963.0</v>
      </c>
      <c r="AB6" s="96">
        <v>50.0</v>
      </c>
      <c r="AC6" s="104"/>
      <c r="AD6" s="105"/>
    </row>
    <row r="7" ht="14.25" customHeight="1">
      <c r="A7" s="95" t="s">
        <v>118</v>
      </c>
      <c r="B7" s="12">
        <v>650.0</v>
      </c>
      <c r="C7" s="106">
        <v>0.0</v>
      </c>
      <c r="D7" s="97">
        <f t="shared" ref="D7:D12" si="9">C7*B7</f>
        <v>0</v>
      </c>
      <c r="E7" s="65"/>
      <c r="F7" s="98" t="s">
        <v>108</v>
      </c>
      <c r="G7" s="12"/>
      <c r="H7" s="96" t="s">
        <v>108</v>
      </c>
      <c r="I7" s="89" t="str">
        <f t="shared" si="1"/>
        <v/>
      </c>
      <c r="J7" s="65"/>
      <c r="K7" s="107" t="s">
        <v>119</v>
      </c>
      <c r="L7" s="189">
        <f>'DAILY STOCKS (F)'!U7</f>
        <v>17</v>
      </c>
      <c r="M7" s="108">
        <v>0.0</v>
      </c>
      <c r="N7" s="99">
        <v>0.0</v>
      </c>
      <c r="O7" s="100">
        <f t="shared" si="3"/>
        <v>0</v>
      </c>
      <c r="P7" s="100">
        <f t="shared" si="4"/>
        <v>4</v>
      </c>
      <c r="Q7" s="100">
        <f t="shared" si="5"/>
        <v>0</v>
      </c>
      <c r="R7" s="101">
        <f t="shared" si="6"/>
        <v>0</v>
      </c>
      <c r="S7" s="109"/>
      <c r="T7" s="100">
        <f t="shared" si="7"/>
        <v>13</v>
      </c>
      <c r="U7" s="102">
        <v>13.0</v>
      </c>
      <c r="V7" s="103">
        <f t="shared" si="8"/>
        <v>0</v>
      </c>
      <c r="W7" s="68"/>
      <c r="X7" s="98">
        <v>207805.0</v>
      </c>
      <c r="Y7" s="96" t="s">
        <v>353</v>
      </c>
      <c r="Z7" s="96" t="s">
        <v>181</v>
      </c>
      <c r="AA7" s="96">
        <v>988.0</v>
      </c>
      <c r="AB7" s="96">
        <v>25.0</v>
      </c>
      <c r="AC7" s="104"/>
      <c r="AD7" s="105"/>
    </row>
    <row r="8" ht="14.25" customHeight="1">
      <c r="A8" s="95" t="s">
        <v>121</v>
      </c>
      <c r="B8" s="12">
        <v>180.0</v>
      </c>
      <c r="C8" s="106">
        <v>0.0</v>
      </c>
      <c r="D8" s="97">
        <f t="shared" si="9"/>
        <v>0</v>
      </c>
      <c r="E8" s="65"/>
      <c r="F8" s="98" t="s">
        <v>108</v>
      </c>
      <c r="G8" s="12"/>
      <c r="H8" s="96" t="s">
        <v>108</v>
      </c>
      <c r="I8" s="89" t="str">
        <f t="shared" si="1"/>
        <v/>
      </c>
      <c r="J8" s="65"/>
      <c r="K8" s="107" t="s">
        <v>103</v>
      </c>
      <c r="L8" s="189">
        <f>'DAILY STOCKS (F)'!U8</f>
        <v>19</v>
      </c>
      <c r="M8" s="108">
        <v>0.0</v>
      </c>
      <c r="N8" s="99">
        <v>67.0</v>
      </c>
      <c r="O8" s="100">
        <f t="shared" si="3"/>
        <v>0</v>
      </c>
      <c r="P8" s="100">
        <f t="shared" si="4"/>
        <v>67</v>
      </c>
      <c r="Q8" s="100">
        <f t="shared" si="5"/>
        <v>0</v>
      </c>
      <c r="R8" s="101">
        <f t="shared" si="6"/>
        <v>0</v>
      </c>
      <c r="S8" s="99">
        <v>14.0</v>
      </c>
      <c r="T8" s="100">
        <f t="shared" si="7"/>
        <v>5</v>
      </c>
      <c r="U8" s="102">
        <v>5.0</v>
      </c>
      <c r="V8" s="103">
        <f t="shared" si="8"/>
        <v>0</v>
      </c>
      <c r="W8" s="68"/>
      <c r="X8" s="98">
        <v>207806.0</v>
      </c>
      <c r="Y8" s="96" t="s">
        <v>354</v>
      </c>
      <c r="Z8" s="96" t="s">
        <v>172</v>
      </c>
      <c r="AA8" s="96">
        <v>963.0</v>
      </c>
      <c r="AB8" s="96">
        <v>50.0</v>
      </c>
      <c r="AC8" s="104"/>
      <c r="AD8" s="105"/>
    </row>
    <row r="9" ht="14.25" customHeight="1">
      <c r="A9" s="95" t="s">
        <v>123</v>
      </c>
      <c r="B9" s="12">
        <v>20.0</v>
      </c>
      <c r="C9" s="106">
        <v>0.0</v>
      </c>
      <c r="D9" s="97">
        <f t="shared" si="9"/>
        <v>0</v>
      </c>
      <c r="E9" s="65"/>
      <c r="F9" s="98" t="s">
        <v>108</v>
      </c>
      <c r="G9" s="12"/>
      <c r="H9" s="96" t="s">
        <v>108</v>
      </c>
      <c r="I9" s="89" t="str">
        <f t="shared" si="1"/>
        <v/>
      </c>
      <c r="J9" s="65"/>
      <c r="K9" s="107" t="s">
        <v>104</v>
      </c>
      <c r="L9" s="189">
        <f>'DAILY STOCKS (F)'!U9</f>
        <v>23</v>
      </c>
      <c r="M9" s="108" t="s">
        <v>355</v>
      </c>
      <c r="N9" s="99">
        <v>50.0</v>
      </c>
      <c r="O9" s="100">
        <f t="shared" si="3"/>
        <v>0</v>
      </c>
      <c r="P9" s="100">
        <f t="shared" si="4"/>
        <v>55</v>
      </c>
      <c r="Q9" s="100">
        <f t="shared" si="5"/>
        <v>0</v>
      </c>
      <c r="R9" s="101">
        <f t="shared" si="6"/>
        <v>0</v>
      </c>
      <c r="S9" s="99">
        <v>5.0</v>
      </c>
      <c r="T9" s="100" t="str">
        <f t="shared" si="7"/>
        <v>#VALUE!</v>
      </c>
      <c r="U9" s="102">
        <v>13.0</v>
      </c>
      <c r="V9" s="103" t="str">
        <f t="shared" si="8"/>
        <v>#VALUE!</v>
      </c>
      <c r="W9" s="68"/>
      <c r="X9" s="98">
        <v>207807.0</v>
      </c>
      <c r="Y9" s="96" t="s">
        <v>136</v>
      </c>
      <c r="Z9" s="96" t="s">
        <v>181</v>
      </c>
      <c r="AA9" s="104"/>
      <c r="AB9" s="104"/>
      <c r="AC9" s="96">
        <v>1013.0</v>
      </c>
      <c r="AD9" s="105"/>
    </row>
    <row r="10" ht="14.25" customHeight="1">
      <c r="A10" s="95" t="s">
        <v>125</v>
      </c>
      <c r="B10" s="12">
        <v>650.0</v>
      </c>
      <c r="C10" s="106">
        <v>0.0</v>
      </c>
      <c r="D10" s="97">
        <f t="shared" si="9"/>
        <v>0</v>
      </c>
      <c r="E10" s="65"/>
      <c r="F10" s="98" t="s">
        <v>108</v>
      </c>
      <c r="G10" s="12"/>
      <c r="H10" s="96" t="s">
        <v>108</v>
      </c>
      <c r="I10" s="89" t="str">
        <f t="shared" si="1"/>
        <v/>
      </c>
      <c r="J10" s="65"/>
      <c r="K10" s="107" t="s">
        <v>126</v>
      </c>
      <c r="L10" s="189">
        <f>'DAILY STOCKS (F)'!U10</f>
        <v>8</v>
      </c>
      <c r="M10" s="108">
        <v>0.0</v>
      </c>
      <c r="N10" s="99">
        <v>0.0</v>
      </c>
      <c r="O10" s="100">
        <f t="shared" si="3"/>
        <v>0</v>
      </c>
      <c r="P10" s="100">
        <f t="shared" si="4"/>
        <v>0</v>
      </c>
      <c r="Q10" s="100">
        <f t="shared" si="5"/>
        <v>0</v>
      </c>
      <c r="R10" s="101">
        <f t="shared" si="6"/>
        <v>0</v>
      </c>
      <c r="S10" s="109"/>
      <c r="T10" s="100">
        <f t="shared" si="7"/>
        <v>8</v>
      </c>
      <c r="U10" s="102">
        <v>8.0</v>
      </c>
      <c r="V10" s="103">
        <f t="shared" si="8"/>
        <v>0</v>
      </c>
      <c r="W10" s="68"/>
      <c r="X10" s="126"/>
      <c r="Y10" s="104"/>
      <c r="Z10" s="96" t="s">
        <v>141</v>
      </c>
      <c r="AA10" s="104"/>
      <c r="AB10" s="104"/>
      <c r="AC10" s="96">
        <v>3039.0</v>
      </c>
      <c r="AD10" s="105"/>
    </row>
    <row r="11" ht="14.25" customHeight="1">
      <c r="A11" s="95" t="s">
        <v>128</v>
      </c>
      <c r="B11" s="12">
        <v>1200.0</v>
      </c>
      <c r="C11" s="106">
        <v>0.0</v>
      </c>
      <c r="D11" s="97">
        <f t="shared" si="9"/>
        <v>0</v>
      </c>
      <c r="E11" s="65"/>
      <c r="F11" s="98" t="s">
        <v>108</v>
      </c>
      <c r="G11" s="12"/>
      <c r="H11" s="96" t="s">
        <v>108</v>
      </c>
      <c r="I11" s="89" t="str">
        <f t="shared" si="1"/>
        <v/>
      </c>
      <c r="J11" s="65"/>
      <c r="K11" s="107" t="s">
        <v>129</v>
      </c>
      <c r="L11" s="189">
        <f>'DAILY STOCKS (F)'!U11</f>
        <v>11</v>
      </c>
      <c r="M11" s="108">
        <v>0.0</v>
      </c>
      <c r="N11" s="99">
        <v>0.0</v>
      </c>
      <c r="O11" s="100">
        <f t="shared" si="3"/>
        <v>0</v>
      </c>
      <c r="P11" s="100">
        <f t="shared" si="4"/>
        <v>0</v>
      </c>
      <c r="Q11" s="100">
        <f t="shared" si="5"/>
        <v>0</v>
      </c>
      <c r="R11" s="101">
        <f t="shared" si="6"/>
        <v>0</v>
      </c>
      <c r="S11" s="109"/>
      <c r="T11" s="100">
        <f t="shared" si="7"/>
        <v>11</v>
      </c>
      <c r="U11" s="102">
        <v>11.0</v>
      </c>
      <c r="V11" s="103">
        <f t="shared" si="8"/>
        <v>0</v>
      </c>
      <c r="W11" s="68"/>
      <c r="X11" s="98">
        <v>207808.0</v>
      </c>
      <c r="Y11" s="96" t="s">
        <v>140</v>
      </c>
      <c r="Z11" s="96" t="s">
        <v>212</v>
      </c>
      <c r="AA11" s="104"/>
      <c r="AB11" s="104"/>
      <c r="AC11" s="96">
        <v>840.0</v>
      </c>
      <c r="AD11" s="105"/>
    </row>
    <row r="12" ht="14.25" customHeight="1">
      <c r="A12" s="107" t="s">
        <v>131</v>
      </c>
      <c r="B12" s="16">
        <v>150.0</v>
      </c>
      <c r="C12" s="106">
        <v>0.0</v>
      </c>
      <c r="D12" s="97">
        <f t="shared" si="9"/>
        <v>0</v>
      </c>
      <c r="E12" s="65"/>
      <c r="F12" s="98" t="s">
        <v>108</v>
      </c>
      <c r="G12" s="12"/>
      <c r="H12" s="96" t="s">
        <v>108</v>
      </c>
      <c r="I12" s="89" t="str">
        <f t="shared" si="1"/>
        <v/>
      </c>
      <c r="J12" s="65"/>
      <c r="K12" s="95" t="s">
        <v>132</v>
      </c>
      <c r="L12" s="189">
        <f>'DAILY STOCKS (F)'!U12</f>
        <v>3</v>
      </c>
      <c r="M12" s="108">
        <v>0.0</v>
      </c>
      <c r="N12" s="99">
        <v>0.0</v>
      </c>
      <c r="O12" s="100">
        <f t="shared" si="3"/>
        <v>0</v>
      </c>
      <c r="P12" s="100">
        <f t="shared" si="4"/>
        <v>2</v>
      </c>
      <c r="Q12" s="100">
        <f t="shared" si="5"/>
        <v>0</v>
      </c>
      <c r="R12" s="101">
        <f t="shared" si="6"/>
        <v>0</v>
      </c>
      <c r="S12" s="109"/>
      <c r="T12" s="100">
        <f t="shared" si="7"/>
        <v>1</v>
      </c>
      <c r="U12" s="102">
        <v>1.0</v>
      </c>
      <c r="V12" s="103">
        <f t="shared" si="8"/>
        <v>0</v>
      </c>
      <c r="W12" s="68"/>
      <c r="X12" s="126"/>
      <c r="Y12" s="104"/>
      <c r="Z12" s="96" t="s">
        <v>356</v>
      </c>
      <c r="AA12" s="104"/>
      <c r="AB12" s="104"/>
      <c r="AC12" s="96">
        <v>6078.0</v>
      </c>
      <c r="AD12" s="105"/>
    </row>
    <row r="13" ht="14.25" customHeight="1">
      <c r="A13" s="114" t="s">
        <v>134</v>
      </c>
      <c r="B13" s="111"/>
      <c r="C13" s="112"/>
      <c r="D13" s="113"/>
      <c r="E13" s="65"/>
      <c r="F13" s="98" t="s">
        <v>108</v>
      </c>
      <c r="G13" s="12"/>
      <c r="H13" s="96" t="s">
        <v>108</v>
      </c>
      <c r="I13" s="89" t="str">
        <f t="shared" si="1"/>
        <v/>
      </c>
      <c r="J13" s="65"/>
      <c r="K13" s="107" t="s">
        <v>135</v>
      </c>
      <c r="L13" s="189" t="str">
        <f>'DAILY STOCKS (F)'!U13</f>
        <v/>
      </c>
      <c r="M13" s="108">
        <v>0.0</v>
      </c>
      <c r="N13" s="99">
        <v>0.0</v>
      </c>
      <c r="O13" s="100">
        <f t="shared" si="3"/>
        <v>0</v>
      </c>
      <c r="P13" s="100">
        <f t="shared" si="4"/>
        <v>0</v>
      </c>
      <c r="Q13" s="100">
        <f t="shared" si="5"/>
        <v>0</v>
      </c>
      <c r="R13" s="101">
        <f t="shared" si="6"/>
        <v>0</v>
      </c>
      <c r="S13" s="109"/>
      <c r="T13" s="100">
        <f t="shared" si="7"/>
        <v>0</v>
      </c>
      <c r="U13" s="115"/>
      <c r="V13" s="103">
        <f t="shared" si="8"/>
        <v>0</v>
      </c>
      <c r="W13" s="68"/>
      <c r="X13" s="126"/>
      <c r="Y13" s="104"/>
      <c r="Z13" s="96" t="s">
        <v>357</v>
      </c>
      <c r="AA13" s="104"/>
      <c r="AB13" s="104"/>
      <c r="AC13" s="96">
        <v>8104.0</v>
      </c>
      <c r="AD13" s="105"/>
    </row>
    <row r="14" ht="14.25" customHeight="1">
      <c r="A14" s="95" t="s">
        <v>109</v>
      </c>
      <c r="B14" s="116">
        <f t="shared" ref="B14:B24" si="10">B26+B53</f>
        <v>1480</v>
      </c>
      <c r="C14" s="96">
        <v>0.0</v>
      </c>
      <c r="D14" s="97">
        <f t="shared" ref="D14:D24" si="11">C14*B14</f>
        <v>0</v>
      </c>
      <c r="E14" s="65"/>
      <c r="F14" s="98" t="s">
        <v>108</v>
      </c>
      <c r="G14" s="12"/>
      <c r="H14" s="96" t="s">
        <v>108</v>
      </c>
      <c r="I14" s="89" t="str">
        <f t="shared" si="1"/>
        <v/>
      </c>
      <c r="J14" s="65"/>
      <c r="K14" s="117" t="s">
        <v>138</v>
      </c>
      <c r="L14" s="222">
        <f>'DAILY STOCKS (F)'!U14</f>
        <v>4</v>
      </c>
      <c r="M14" s="119">
        <v>0.0</v>
      </c>
      <c r="N14" s="120">
        <v>0.0</v>
      </c>
      <c r="O14" s="121">
        <f t="shared" si="3"/>
        <v>0</v>
      </c>
      <c r="P14" s="121">
        <f t="shared" si="4"/>
        <v>1</v>
      </c>
      <c r="Q14" s="121">
        <f t="shared" si="5"/>
        <v>0</v>
      </c>
      <c r="R14" s="122">
        <f t="shared" si="6"/>
        <v>0</v>
      </c>
      <c r="S14" s="123"/>
      <c r="T14" s="121">
        <f t="shared" si="7"/>
        <v>3</v>
      </c>
      <c r="U14" s="124">
        <v>3.0</v>
      </c>
      <c r="V14" s="125">
        <f t="shared" si="8"/>
        <v>0</v>
      </c>
      <c r="W14" s="68"/>
      <c r="X14" s="98">
        <v>207809.0</v>
      </c>
      <c r="Y14" s="96" t="s">
        <v>358</v>
      </c>
      <c r="Z14" s="96" t="s">
        <v>181</v>
      </c>
      <c r="AA14" s="96">
        <v>988.0</v>
      </c>
      <c r="AB14" s="96">
        <v>25.0</v>
      </c>
      <c r="AC14" s="104"/>
      <c r="AD14" s="105"/>
    </row>
    <row r="15" ht="14.25" customHeight="1">
      <c r="A15" s="107" t="s">
        <v>112</v>
      </c>
      <c r="B15" s="116">
        <f t="shared" si="10"/>
        <v>1480</v>
      </c>
      <c r="C15" s="106">
        <v>0.0</v>
      </c>
      <c r="D15" s="97">
        <f t="shared" si="11"/>
        <v>0</v>
      </c>
      <c r="E15" s="65"/>
      <c r="F15" s="98" t="s">
        <v>108</v>
      </c>
      <c r="G15" s="12"/>
      <c r="H15" s="96" t="s">
        <v>108</v>
      </c>
      <c r="I15" s="89" t="str">
        <f t="shared" si="1"/>
        <v/>
      </c>
      <c r="J15" s="65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68"/>
      <c r="X15" s="98">
        <v>207810.0</v>
      </c>
      <c r="Y15" s="96" t="s">
        <v>359</v>
      </c>
      <c r="Z15" s="96" t="s">
        <v>181</v>
      </c>
      <c r="AA15" s="96">
        <v>963.0</v>
      </c>
      <c r="AB15" s="96">
        <v>50.0</v>
      </c>
      <c r="AC15" s="104"/>
      <c r="AD15" s="105"/>
    </row>
    <row r="16" ht="14.25" customHeight="1">
      <c r="A16" s="107" t="s">
        <v>115</v>
      </c>
      <c r="B16" s="116">
        <f t="shared" si="10"/>
        <v>2588</v>
      </c>
      <c r="C16" s="106">
        <v>0.0</v>
      </c>
      <c r="D16" s="97">
        <f t="shared" si="11"/>
        <v>0</v>
      </c>
      <c r="E16" s="65"/>
      <c r="F16" s="98" t="s">
        <v>108</v>
      </c>
      <c r="G16" s="12"/>
      <c r="H16" s="96" t="s">
        <v>108</v>
      </c>
      <c r="I16" s="89" t="str">
        <f t="shared" si="1"/>
        <v/>
      </c>
      <c r="J16" s="65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68"/>
      <c r="X16" s="98">
        <v>207811.0</v>
      </c>
      <c r="Y16" s="96" t="s">
        <v>360</v>
      </c>
      <c r="Z16" s="96" t="s">
        <v>179</v>
      </c>
      <c r="AA16" s="96">
        <v>688.0</v>
      </c>
      <c r="AB16" s="104"/>
      <c r="AC16" s="104"/>
      <c r="AD16" s="105"/>
    </row>
    <row r="17" ht="14.25" customHeight="1">
      <c r="A17" s="107" t="s">
        <v>119</v>
      </c>
      <c r="B17" s="116">
        <f t="shared" si="10"/>
        <v>2588</v>
      </c>
      <c r="C17" s="96">
        <v>0.0</v>
      </c>
      <c r="D17" s="97">
        <f t="shared" si="11"/>
        <v>0</v>
      </c>
      <c r="E17" s="65"/>
      <c r="F17" s="98" t="s">
        <v>108</v>
      </c>
      <c r="G17" s="12"/>
      <c r="H17" s="96" t="s">
        <v>108</v>
      </c>
      <c r="I17" s="89" t="str">
        <f t="shared" si="1"/>
        <v/>
      </c>
      <c r="J17" s="65"/>
      <c r="K17" s="72" t="s">
        <v>143</v>
      </c>
      <c r="L17" s="72" t="s">
        <v>85</v>
      </c>
      <c r="M17" s="128" t="s">
        <v>144</v>
      </c>
      <c r="N17" s="128" t="s">
        <v>88</v>
      </c>
      <c r="O17" s="128" t="s">
        <v>89</v>
      </c>
      <c r="P17" s="128" t="s">
        <v>145</v>
      </c>
      <c r="Q17" s="72" t="s">
        <v>92</v>
      </c>
      <c r="R17" s="129" t="s">
        <v>93</v>
      </c>
      <c r="S17" s="130" t="s">
        <v>94</v>
      </c>
      <c r="T17" s="127"/>
      <c r="U17" s="127"/>
      <c r="V17" s="127"/>
      <c r="W17" s="68"/>
      <c r="X17" s="98">
        <v>207812.0</v>
      </c>
      <c r="Y17" s="96" t="s">
        <v>361</v>
      </c>
      <c r="Z17" s="96" t="s">
        <v>362</v>
      </c>
      <c r="AA17" s="96">
        <v>280.0</v>
      </c>
      <c r="AB17" s="104"/>
      <c r="AC17" s="104"/>
      <c r="AD17" s="105"/>
    </row>
    <row r="18" ht="14.25" customHeight="1">
      <c r="A18" s="107" t="s">
        <v>103</v>
      </c>
      <c r="B18" s="116">
        <f t="shared" si="10"/>
        <v>3013</v>
      </c>
      <c r="C18" s="96">
        <v>0.0</v>
      </c>
      <c r="D18" s="97">
        <f t="shared" si="11"/>
        <v>0</v>
      </c>
      <c r="E18" s="65"/>
      <c r="F18" s="98" t="s">
        <v>108</v>
      </c>
      <c r="G18" s="12"/>
      <c r="H18" s="96" t="s">
        <v>108</v>
      </c>
      <c r="I18" s="89" t="str">
        <f t="shared" si="1"/>
        <v/>
      </c>
      <c r="J18" s="65"/>
      <c r="K18" s="95" t="s">
        <v>109</v>
      </c>
      <c r="L18" s="101">
        <f>'DAILY STOCKS (F)'!R18</f>
        <v>41</v>
      </c>
      <c r="M18" s="132">
        <f t="shared" ref="M18:M28" si="12">N4</f>
        <v>0</v>
      </c>
      <c r="N18" s="132">
        <f t="shared" ref="N18:N22" si="13">P4</f>
        <v>9</v>
      </c>
      <c r="O18" s="132">
        <f t="shared" ref="O18:O28" si="14">countif($F$3:$F$25,K18)</f>
        <v>0</v>
      </c>
      <c r="P18" s="133"/>
      <c r="Q18" s="132">
        <f t="shared" ref="Q18:Q28" si="15">L18-M18+N18+O18+P18</f>
        <v>50</v>
      </c>
      <c r="R18" s="134">
        <v>50.0</v>
      </c>
      <c r="S18" s="135">
        <f t="shared" ref="S18:S28" si="16">R18-Q18</f>
        <v>0</v>
      </c>
      <c r="T18" s="127"/>
      <c r="U18" s="127"/>
      <c r="V18" s="127"/>
      <c r="W18" s="68"/>
      <c r="X18" s="98">
        <v>207813.0</v>
      </c>
      <c r="Y18" s="96" t="s">
        <v>35</v>
      </c>
      <c r="Z18" s="96" t="s">
        <v>363</v>
      </c>
      <c r="AA18" s="96">
        <v>15008.0</v>
      </c>
      <c r="AB18" s="96">
        <v>1200.0</v>
      </c>
      <c r="AC18" s="104"/>
      <c r="AD18" s="105"/>
    </row>
    <row r="19" ht="14.25" customHeight="1">
      <c r="A19" s="107" t="s">
        <v>104</v>
      </c>
      <c r="B19" s="116">
        <f t="shared" si="10"/>
        <v>3013</v>
      </c>
      <c r="C19" s="96">
        <v>0.0</v>
      </c>
      <c r="D19" s="97">
        <f t="shared" si="11"/>
        <v>0</v>
      </c>
      <c r="E19" s="65"/>
      <c r="F19" s="98" t="s">
        <v>108</v>
      </c>
      <c r="G19" s="12"/>
      <c r="H19" s="96" t="s">
        <v>108</v>
      </c>
      <c r="I19" s="89" t="str">
        <f t="shared" si="1"/>
        <v/>
      </c>
      <c r="J19" s="65"/>
      <c r="K19" s="107" t="s">
        <v>112</v>
      </c>
      <c r="L19" s="101">
        <f>'DAILY STOCKS (F)'!R19</f>
        <v>11</v>
      </c>
      <c r="M19" s="136">
        <f t="shared" si="12"/>
        <v>0</v>
      </c>
      <c r="N19" s="136">
        <f t="shared" si="13"/>
        <v>1</v>
      </c>
      <c r="O19" s="132">
        <f t="shared" si="14"/>
        <v>0</v>
      </c>
      <c r="P19" s="137"/>
      <c r="Q19" s="132">
        <f t="shared" si="15"/>
        <v>12</v>
      </c>
      <c r="R19" s="138">
        <v>12.0</v>
      </c>
      <c r="S19" s="139">
        <f t="shared" si="16"/>
        <v>0</v>
      </c>
      <c r="T19" s="65"/>
      <c r="U19" s="65"/>
      <c r="V19" s="140"/>
      <c r="W19" s="68"/>
      <c r="X19" s="126"/>
      <c r="Y19" s="104"/>
      <c r="Z19" s="96" t="s">
        <v>364</v>
      </c>
      <c r="AA19" s="96">
        <v>25326.0</v>
      </c>
      <c r="AB19" s="96">
        <v>2025.0</v>
      </c>
      <c r="AC19" s="104"/>
      <c r="AD19" s="105"/>
    </row>
    <row r="20" ht="14.25" customHeight="1">
      <c r="A20" s="107" t="s">
        <v>126</v>
      </c>
      <c r="B20" s="116">
        <f t="shared" si="10"/>
        <v>4738</v>
      </c>
      <c r="C20" s="96">
        <v>0.0</v>
      </c>
      <c r="D20" s="97">
        <f t="shared" si="11"/>
        <v>0</v>
      </c>
      <c r="E20" s="65"/>
      <c r="F20" s="98" t="s">
        <v>108</v>
      </c>
      <c r="G20" s="12"/>
      <c r="H20" s="96" t="s">
        <v>108</v>
      </c>
      <c r="I20" s="89" t="str">
        <f t="shared" si="1"/>
        <v/>
      </c>
      <c r="J20" s="65"/>
      <c r="K20" s="107" t="s">
        <v>115</v>
      </c>
      <c r="L20" s="101">
        <f>'DAILY STOCKS (F)'!R20</f>
        <v>10</v>
      </c>
      <c r="M20" s="136">
        <f t="shared" si="12"/>
        <v>0</v>
      </c>
      <c r="N20" s="136">
        <f t="shared" si="13"/>
        <v>1</v>
      </c>
      <c r="O20" s="132">
        <f t="shared" si="14"/>
        <v>0</v>
      </c>
      <c r="P20" s="141"/>
      <c r="Q20" s="132">
        <f t="shared" si="15"/>
        <v>11</v>
      </c>
      <c r="R20" s="138">
        <v>11.0</v>
      </c>
      <c r="S20" s="139">
        <f t="shared" si="16"/>
        <v>0</v>
      </c>
      <c r="T20" s="65"/>
      <c r="U20" s="65"/>
      <c r="V20" s="140"/>
      <c r="W20" s="68"/>
      <c r="X20" s="98">
        <v>207814.0</v>
      </c>
      <c r="Y20" s="96" t="s">
        <v>365</v>
      </c>
      <c r="Z20" s="96" t="s">
        <v>153</v>
      </c>
      <c r="AA20" s="96">
        <v>4059.0</v>
      </c>
      <c r="AB20" s="96">
        <v>400.0</v>
      </c>
      <c r="AC20" s="104"/>
      <c r="AD20" s="105"/>
    </row>
    <row r="21" ht="14.25" customHeight="1">
      <c r="A21" s="107" t="s">
        <v>129</v>
      </c>
      <c r="B21" s="116">
        <f t="shared" si="10"/>
        <v>4738</v>
      </c>
      <c r="C21" s="106">
        <v>0.0</v>
      </c>
      <c r="D21" s="97">
        <f t="shared" si="11"/>
        <v>0</v>
      </c>
      <c r="E21" s="65"/>
      <c r="F21" s="98" t="s">
        <v>108</v>
      </c>
      <c r="G21" s="12"/>
      <c r="H21" s="96" t="s">
        <v>108</v>
      </c>
      <c r="I21" s="89" t="str">
        <f t="shared" si="1"/>
        <v/>
      </c>
      <c r="J21" s="65"/>
      <c r="K21" s="107" t="s">
        <v>119</v>
      </c>
      <c r="L21" s="101">
        <f>'DAILY STOCKS (F)'!R21</f>
        <v>14</v>
      </c>
      <c r="M21" s="136">
        <f t="shared" si="12"/>
        <v>0</v>
      </c>
      <c r="N21" s="136">
        <f t="shared" si="13"/>
        <v>4</v>
      </c>
      <c r="O21" s="132">
        <f t="shared" si="14"/>
        <v>0</v>
      </c>
      <c r="P21" s="137"/>
      <c r="Q21" s="132">
        <f t="shared" si="15"/>
        <v>18</v>
      </c>
      <c r="R21" s="138">
        <v>18.0</v>
      </c>
      <c r="S21" s="139">
        <f t="shared" si="16"/>
        <v>0</v>
      </c>
      <c r="T21" s="65"/>
      <c r="U21" s="65"/>
      <c r="V21" s="140"/>
      <c r="W21" s="68"/>
      <c r="X21" s="98">
        <v>207815.0</v>
      </c>
      <c r="Y21" s="96" t="s">
        <v>366</v>
      </c>
      <c r="Z21" s="96" t="s">
        <v>172</v>
      </c>
      <c r="AA21" s="96">
        <v>963.0</v>
      </c>
      <c r="AB21" s="96">
        <v>50.0</v>
      </c>
      <c r="AC21" s="104"/>
      <c r="AD21" s="105"/>
    </row>
    <row r="22" ht="14.25" customHeight="1">
      <c r="A22" s="95" t="s">
        <v>132</v>
      </c>
      <c r="B22" s="116">
        <f t="shared" si="10"/>
        <v>5665</v>
      </c>
      <c r="C22" s="106">
        <v>0.0</v>
      </c>
      <c r="D22" s="97">
        <f t="shared" si="11"/>
        <v>0</v>
      </c>
      <c r="E22" s="65"/>
      <c r="F22" s="98" t="s">
        <v>108</v>
      </c>
      <c r="G22" s="12"/>
      <c r="H22" s="96" t="s">
        <v>108</v>
      </c>
      <c r="I22" s="89" t="str">
        <f t="shared" si="1"/>
        <v/>
      </c>
      <c r="J22" s="65"/>
      <c r="K22" s="107" t="s">
        <v>103</v>
      </c>
      <c r="L22" s="101">
        <f>'DAILY STOCKS (F)'!R22</f>
        <v>146</v>
      </c>
      <c r="M22" s="136">
        <f t="shared" si="12"/>
        <v>67</v>
      </c>
      <c r="N22" s="136">
        <f t="shared" si="13"/>
        <v>67</v>
      </c>
      <c r="O22" s="132">
        <f t="shared" si="14"/>
        <v>0</v>
      </c>
      <c r="P22" s="137"/>
      <c r="Q22" s="132">
        <f t="shared" si="15"/>
        <v>146</v>
      </c>
      <c r="R22" s="138">
        <v>146.0</v>
      </c>
      <c r="S22" s="139">
        <f t="shared" si="16"/>
        <v>0</v>
      </c>
      <c r="T22" s="65"/>
      <c r="U22" s="65"/>
      <c r="V22" s="140"/>
      <c r="W22" s="68"/>
      <c r="X22" s="98">
        <v>207817.0</v>
      </c>
      <c r="Y22" s="96" t="s">
        <v>367</v>
      </c>
      <c r="Z22" s="96" t="s">
        <v>154</v>
      </c>
      <c r="AA22" s="96">
        <v>280.0</v>
      </c>
      <c r="AB22" s="104"/>
      <c r="AC22" s="104"/>
      <c r="AD22" s="105"/>
    </row>
    <row r="23" ht="14.25" customHeight="1">
      <c r="A23" s="107" t="s">
        <v>135</v>
      </c>
      <c r="B23" s="116">
        <f t="shared" si="10"/>
        <v>9459</v>
      </c>
      <c r="C23" s="106">
        <v>0.0</v>
      </c>
      <c r="D23" s="97">
        <f t="shared" si="11"/>
        <v>0</v>
      </c>
      <c r="E23" s="65"/>
      <c r="F23" s="98" t="s">
        <v>108</v>
      </c>
      <c r="G23" s="12"/>
      <c r="H23" s="96" t="s">
        <v>108</v>
      </c>
      <c r="I23" s="89" t="str">
        <f t="shared" si="1"/>
        <v/>
      </c>
      <c r="J23" s="65"/>
      <c r="K23" s="107" t="s">
        <v>104</v>
      </c>
      <c r="L23" s="101">
        <f>'DAILY STOCKS (F)'!R23</f>
        <v>117</v>
      </c>
      <c r="M23" s="136">
        <f t="shared" si="12"/>
        <v>50</v>
      </c>
      <c r="N23" s="136">
        <f>C31</f>
        <v>55</v>
      </c>
      <c r="O23" s="132">
        <f t="shared" si="14"/>
        <v>0</v>
      </c>
      <c r="P23" s="137"/>
      <c r="Q23" s="132">
        <f t="shared" si="15"/>
        <v>122</v>
      </c>
      <c r="R23" s="138">
        <v>136.0</v>
      </c>
      <c r="S23" s="139">
        <f t="shared" si="16"/>
        <v>14</v>
      </c>
      <c r="T23" s="65"/>
      <c r="U23" s="65"/>
      <c r="V23" s="140"/>
      <c r="W23" s="68"/>
      <c r="X23" s="98">
        <v>207818.0</v>
      </c>
      <c r="Y23" s="96" t="s">
        <v>341</v>
      </c>
      <c r="Z23" s="96" t="s">
        <v>368</v>
      </c>
      <c r="AA23" s="96">
        <v>11256.0</v>
      </c>
      <c r="AB23" s="96">
        <v>900.0</v>
      </c>
      <c r="AC23" s="104"/>
      <c r="AD23" s="105"/>
    </row>
    <row r="24" ht="14.25" customHeight="1">
      <c r="A24" s="107" t="s">
        <v>138</v>
      </c>
      <c r="B24" s="116">
        <f t="shared" si="10"/>
        <v>9459</v>
      </c>
      <c r="C24" s="106">
        <v>0.0</v>
      </c>
      <c r="D24" s="97">
        <f t="shared" si="11"/>
        <v>0</v>
      </c>
      <c r="E24" s="65"/>
      <c r="F24" s="98" t="s">
        <v>108</v>
      </c>
      <c r="G24" s="12"/>
      <c r="H24" s="96" t="s">
        <v>108</v>
      </c>
      <c r="I24" s="89" t="str">
        <f t="shared" si="1"/>
        <v/>
      </c>
      <c r="J24" s="65"/>
      <c r="K24" s="107" t="s">
        <v>126</v>
      </c>
      <c r="L24" s="101">
        <f>'DAILY STOCKS (F)'!R24</f>
        <v>2</v>
      </c>
      <c r="M24" s="136">
        <f t="shared" si="12"/>
        <v>0</v>
      </c>
      <c r="N24" s="136">
        <f t="shared" ref="N24:N28" si="17">P10</f>
        <v>0</v>
      </c>
      <c r="O24" s="132">
        <f t="shared" si="14"/>
        <v>0</v>
      </c>
      <c r="P24" s="137"/>
      <c r="Q24" s="132">
        <f t="shared" si="15"/>
        <v>2</v>
      </c>
      <c r="R24" s="138">
        <v>2.0</v>
      </c>
      <c r="S24" s="139">
        <f t="shared" si="16"/>
        <v>0</v>
      </c>
      <c r="T24" s="65"/>
      <c r="U24" s="65"/>
      <c r="V24" s="140"/>
      <c r="W24" s="68"/>
      <c r="X24" s="143"/>
      <c r="Y24" s="137"/>
      <c r="Z24" s="141" t="s">
        <v>213</v>
      </c>
      <c r="AA24" s="141">
        <v>4690.0</v>
      </c>
      <c r="AB24" s="141">
        <v>375.0</v>
      </c>
      <c r="AC24" s="137"/>
      <c r="AD24" s="144"/>
    </row>
    <row r="25" ht="14.25" customHeight="1">
      <c r="A25" s="114" t="s">
        <v>88</v>
      </c>
      <c r="B25" s="111"/>
      <c r="C25" s="112"/>
      <c r="D25" s="113"/>
      <c r="E25" s="65"/>
      <c r="F25" s="145" t="s">
        <v>108</v>
      </c>
      <c r="G25" s="25"/>
      <c r="H25" s="146" t="s">
        <v>108</v>
      </c>
      <c r="I25" s="89" t="str">
        <f t="shared" si="1"/>
        <v/>
      </c>
      <c r="J25" s="65"/>
      <c r="K25" s="107" t="s">
        <v>129</v>
      </c>
      <c r="L25" s="101">
        <f>'DAILY STOCKS (F)'!R25</f>
        <v>64</v>
      </c>
      <c r="M25" s="136">
        <f t="shared" si="12"/>
        <v>0</v>
      </c>
      <c r="N25" s="136">
        <f t="shared" si="17"/>
        <v>0</v>
      </c>
      <c r="O25" s="132">
        <f t="shared" si="14"/>
        <v>0</v>
      </c>
      <c r="P25" s="137"/>
      <c r="Q25" s="132">
        <f t="shared" si="15"/>
        <v>64</v>
      </c>
      <c r="R25" s="138">
        <v>64.0</v>
      </c>
      <c r="S25" s="139">
        <f t="shared" si="16"/>
        <v>0</v>
      </c>
      <c r="T25" s="65"/>
      <c r="U25" s="65"/>
      <c r="V25" s="140"/>
      <c r="W25" s="68"/>
      <c r="X25" s="177">
        <v>207820.0</v>
      </c>
      <c r="Y25" s="148" t="s">
        <v>369</v>
      </c>
      <c r="Z25" s="148" t="s">
        <v>205</v>
      </c>
      <c r="AA25" s="148">
        <v>2026.0</v>
      </c>
      <c r="AB25" s="147"/>
      <c r="AC25" s="147"/>
      <c r="AD25" s="149"/>
    </row>
    <row r="26" ht="14.25" customHeight="1">
      <c r="A26" s="95" t="s">
        <v>109</v>
      </c>
      <c r="B26" s="16">
        <v>280.0</v>
      </c>
      <c r="C26" s="96">
        <v>9.0</v>
      </c>
      <c r="D26" s="97">
        <f t="shared" ref="D26:D36" si="18">C26*B26</f>
        <v>2520</v>
      </c>
      <c r="E26" s="65"/>
      <c r="F26" s="72" t="s">
        <v>80</v>
      </c>
      <c r="G26" s="67"/>
      <c r="H26" s="64"/>
      <c r="I26" s="150">
        <f>sum(I3:I25)</f>
        <v>0</v>
      </c>
      <c r="J26" s="65"/>
      <c r="K26" s="95" t="s">
        <v>132</v>
      </c>
      <c r="L26" s="101">
        <f>'DAILY STOCKS (F)'!R26</f>
        <v>3</v>
      </c>
      <c r="M26" s="136">
        <f t="shared" si="12"/>
        <v>0</v>
      </c>
      <c r="N26" s="136">
        <f t="shared" si="17"/>
        <v>2</v>
      </c>
      <c r="O26" s="132">
        <f t="shared" si="14"/>
        <v>0</v>
      </c>
      <c r="P26" s="137"/>
      <c r="Q26" s="132">
        <f t="shared" si="15"/>
        <v>5</v>
      </c>
      <c r="R26" s="138">
        <v>5.0</v>
      </c>
      <c r="S26" s="139">
        <f t="shared" si="16"/>
        <v>0</v>
      </c>
      <c r="T26" s="65"/>
      <c r="U26" s="65"/>
      <c r="V26" s="140"/>
      <c r="W26" s="68"/>
      <c r="X26" s="152">
        <v>207821.0</v>
      </c>
      <c r="Y26" s="148" t="s">
        <v>370</v>
      </c>
      <c r="Z26" s="148" t="s">
        <v>181</v>
      </c>
      <c r="AA26" s="148">
        <v>963.0</v>
      </c>
      <c r="AB26" s="148">
        <v>50.0</v>
      </c>
      <c r="AC26" s="147"/>
      <c r="AD26" s="149"/>
    </row>
    <row r="27" ht="14.25" customHeight="1">
      <c r="A27" s="107" t="s">
        <v>112</v>
      </c>
      <c r="B27" s="16">
        <v>280.0</v>
      </c>
      <c r="C27" s="96">
        <v>1.0</v>
      </c>
      <c r="D27" s="97">
        <f t="shared" si="18"/>
        <v>280</v>
      </c>
      <c r="E27" s="65"/>
      <c r="F27" s="65"/>
      <c r="G27" s="65"/>
      <c r="H27" s="65"/>
      <c r="I27" s="65"/>
      <c r="J27" s="65"/>
      <c r="K27" s="107" t="s">
        <v>135</v>
      </c>
      <c r="L27" s="101">
        <f>'DAILY STOCKS (F)'!R27</f>
        <v>31</v>
      </c>
      <c r="M27" s="136">
        <f t="shared" si="12"/>
        <v>0</v>
      </c>
      <c r="N27" s="136">
        <f t="shared" si="17"/>
        <v>0</v>
      </c>
      <c r="O27" s="132">
        <f t="shared" si="14"/>
        <v>0</v>
      </c>
      <c r="P27" s="137"/>
      <c r="Q27" s="132">
        <f t="shared" si="15"/>
        <v>31</v>
      </c>
      <c r="R27" s="138">
        <v>31.0</v>
      </c>
      <c r="S27" s="139">
        <f t="shared" si="16"/>
        <v>0</v>
      </c>
      <c r="T27" s="65"/>
      <c r="U27" s="65"/>
      <c r="V27" s="140"/>
      <c r="W27" s="68"/>
      <c r="X27" s="152">
        <v>207822.0</v>
      </c>
      <c r="Y27" s="148" t="s">
        <v>136</v>
      </c>
      <c r="Z27" s="148" t="s">
        <v>156</v>
      </c>
      <c r="AA27" s="147"/>
      <c r="AB27" s="147"/>
      <c r="AC27" s="148">
        <v>2026.0</v>
      </c>
      <c r="AD27" s="149"/>
    </row>
    <row r="28" ht="14.25" customHeight="1">
      <c r="A28" s="107" t="s">
        <v>115</v>
      </c>
      <c r="B28" s="16">
        <v>688.0</v>
      </c>
      <c r="C28" s="96">
        <v>1.0</v>
      </c>
      <c r="D28" s="97">
        <f t="shared" si="18"/>
        <v>688</v>
      </c>
      <c r="E28" s="65"/>
      <c r="F28" s="65"/>
      <c r="G28" s="65"/>
      <c r="H28" s="65"/>
      <c r="I28" s="65"/>
      <c r="J28" s="65"/>
      <c r="K28" s="117" t="s">
        <v>138</v>
      </c>
      <c r="L28" s="122">
        <f>'DAILY STOCKS (F)'!R28</f>
        <v>12</v>
      </c>
      <c r="M28" s="154">
        <f t="shared" si="12"/>
        <v>0</v>
      </c>
      <c r="N28" s="154">
        <f t="shared" si="17"/>
        <v>1</v>
      </c>
      <c r="O28" s="155">
        <f t="shared" si="14"/>
        <v>0</v>
      </c>
      <c r="P28" s="156"/>
      <c r="Q28" s="155">
        <f t="shared" si="15"/>
        <v>13</v>
      </c>
      <c r="R28" s="157">
        <v>13.0</v>
      </c>
      <c r="S28" s="158">
        <f t="shared" si="16"/>
        <v>0</v>
      </c>
      <c r="T28" s="65"/>
      <c r="U28" s="65"/>
      <c r="V28" s="140"/>
      <c r="W28" s="68"/>
      <c r="X28" s="151"/>
      <c r="Y28" s="147"/>
      <c r="Z28" s="148" t="s">
        <v>181</v>
      </c>
      <c r="AA28" s="147"/>
      <c r="AB28" s="147"/>
      <c r="AC28" s="148">
        <v>1013.0</v>
      </c>
      <c r="AD28" s="149"/>
    </row>
    <row r="29" ht="14.25" customHeight="1">
      <c r="A29" s="107" t="s">
        <v>119</v>
      </c>
      <c r="B29" s="16">
        <v>688.0</v>
      </c>
      <c r="C29" s="96">
        <v>4.0</v>
      </c>
      <c r="D29" s="97">
        <f t="shared" si="18"/>
        <v>2752</v>
      </c>
      <c r="E29" s="65"/>
      <c r="F29" s="65"/>
      <c r="G29" s="65"/>
      <c r="H29" s="65"/>
      <c r="I29" s="65"/>
      <c r="J29" s="65"/>
      <c r="K29" s="127"/>
      <c r="L29" s="127"/>
      <c r="M29" s="127"/>
      <c r="N29" s="127"/>
      <c r="O29" s="127"/>
      <c r="P29" s="127"/>
      <c r="Q29" s="65"/>
      <c r="R29" s="65"/>
      <c r="S29" s="65"/>
      <c r="T29" s="65"/>
      <c r="U29" s="65"/>
      <c r="V29" s="140"/>
      <c r="W29" s="68"/>
      <c r="X29" s="152">
        <v>207823.0</v>
      </c>
      <c r="Y29" s="148" t="s">
        <v>140</v>
      </c>
      <c r="Z29" s="148" t="s">
        <v>213</v>
      </c>
      <c r="AA29" s="147"/>
      <c r="AB29" s="147"/>
      <c r="AC29" s="148">
        <v>5065.0</v>
      </c>
      <c r="AD29" s="149"/>
    </row>
    <row r="30" ht="14.25" customHeight="1">
      <c r="A30" s="107" t="s">
        <v>103</v>
      </c>
      <c r="B30" s="16">
        <v>1013.0</v>
      </c>
      <c r="C30" s="96">
        <v>67.0</v>
      </c>
      <c r="D30" s="97">
        <f t="shared" si="18"/>
        <v>67871</v>
      </c>
      <c r="E30" s="65"/>
      <c r="F30" s="65"/>
      <c r="G30" s="65"/>
      <c r="H30" s="65"/>
      <c r="I30" s="65"/>
      <c r="J30" s="65"/>
      <c r="K30" s="127"/>
      <c r="L30" s="127"/>
      <c r="M30" s="127"/>
      <c r="N30" s="127"/>
      <c r="O30" s="127"/>
      <c r="P30" s="127"/>
      <c r="Q30" s="65"/>
      <c r="R30" s="65"/>
      <c r="S30" s="65"/>
      <c r="T30" s="65"/>
      <c r="U30" s="65"/>
      <c r="V30" s="140"/>
      <c r="W30" s="68"/>
      <c r="X30" s="151"/>
      <c r="Y30" s="147"/>
      <c r="Z30" s="148" t="s">
        <v>155</v>
      </c>
      <c r="AA30" s="147"/>
      <c r="AB30" s="147"/>
      <c r="AC30" s="148">
        <v>5065.0</v>
      </c>
      <c r="AD30" s="149"/>
    </row>
    <row r="31" ht="14.25" customHeight="1">
      <c r="A31" s="107" t="s">
        <v>104</v>
      </c>
      <c r="B31" s="16">
        <v>1013.0</v>
      </c>
      <c r="C31" s="96">
        <v>55.0</v>
      </c>
      <c r="D31" s="97">
        <f t="shared" si="18"/>
        <v>55715</v>
      </c>
      <c r="E31" s="65"/>
      <c r="F31" s="65"/>
      <c r="G31" s="65"/>
      <c r="H31" s="65"/>
      <c r="I31" s="65"/>
      <c r="J31" s="65"/>
      <c r="K31" s="75" t="s">
        <v>163</v>
      </c>
      <c r="L31" s="76" t="s">
        <v>85</v>
      </c>
      <c r="M31" s="77" t="s">
        <v>164</v>
      </c>
      <c r="N31" s="159" t="s">
        <v>79</v>
      </c>
      <c r="O31" s="78" t="s">
        <v>165</v>
      </c>
      <c r="P31" s="79" t="s">
        <v>92</v>
      </c>
      <c r="Q31" s="79" t="s">
        <v>93</v>
      </c>
      <c r="R31" s="160" t="s">
        <v>94</v>
      </c>
      <c r="S31" s="65"/>
      <c r="T31" s="65"/>
      <c r="U31" s="65"/>
      <c r="V31" s="140"/>
      <c r="W31" s="68"/>
      <c r="X31" s="152">
        <v>207824.0</v>
      </c>
      <c r="Y31" s="148" t="s">
        <v>176</v>
      </c>
      <c r="Z31" s="148" t="s">
        <v>172</v>
      </c>
      <c r="AA31" s="148">
        <v>938.0</v>
      </c>
      <c r="AB31" s="148">
        <v>75.0</v>
      </c>
      <c r="AC31" s="147"/>
      <c r="AD31" s="149"/>
    </row>
    <row r="32" ht="14.25" customHeight="1">
      <c r="A32" s="107" t="s">
        <v>126</v>
      </c>
      <c r="B32" s="16">
        <v>1038.0</v>
      </c>
      <c r="C32" s="106">
        <v>0.0</v>
      </c>
      <c r="D32" s="97">
        <f t="shared" si="18"/>
        <v>0</v>
      </c>
      <c r="E32" s="65"/>
      <c r="F32" s="65"/>
      <c r="G32" s="65"/>
      <c r="H32" s="65"/>
      <c r="I32" s="65"/>
      <c r="J32" s="65"/>
      <c r="K32" s="161" t="s">
        <v>102</v>
      </c>
      <c r="L32" s="162"/>
      <c r="M32" s="163"/>
      <c r="N32" s="164"/>
      <c r="O32" s="163"/>
      <c r="P32" s="163"/>
      <c r="Q32" s="163"/>
      <c r="R32" s="165"/>
      <c r="S32" s="166"/>
      <c r="T32" s="166"/>
      <c r="U32" s="166"/>
      <c r="V32" s="167"/>
      <c r="W32" s="68"/>
      <c r="X32" s="152">
        <v>207825.0</v>
      </c>
      <c r="Y32" s="148" t="s">
        <v>223</v>
      </c>
      <c r="Z32" s="148" t="s">
        <v>141</v>
      </c>
      <c r="AA32" s="148">
        <v>2814.0</v>
      </c>
      <c r="AB32" s="148">
        <v>225.0</v>
      </c>
      <c r="AC32" s="147"/>
      <c r="AD32" s="149"/>
    </row>
    <row r="33" ht="14.25" customHeight="1">
      <c r="A33" s="107" t="s">
        <v>129</v>
      </c>
      <c r="B33" s="16">
        <v>1038.0</v>
      </c>
      <c r="C33" s="106">
        <v>0.0</v>
      </c>
      <c r="D33" s="97">
        <f t="shared" si="18"/>
        <v>0</v>
      </c>
      <c r="E33" s="65"/>
      <c r="F33" s="65"/>
      <c r="G33" s="65"/>
      <c r="H33" s="65"/>
      <c r="I33" s="65"/>
      <c r="J33" s="65"/>
      <c r="K33" s="95" t="s">
        <v>107</v>
      </c>
      <c r="L33" s="189" t="str">
        <f>'DAILY STOCKS (F)'!Q33</f>
        <v/>
      </c>
      <c r="M33" s="108">
        <v>0.0</v>
      </c>
      <c r="N33" s="136">
        <f t="shared" ref="N33:N34" si="19">C4</f>
        <v>0</v>
      </c>
      <c r="O33" s="168"/>
      <c r="P33" s="169">
        <f t="shared" ref="P33:P34" si="20">L33+M33-N33-O33</f>
        <v>0</v>
      </c>
      <c r="Q33" s="168"/>
      <c r="R33" s="171">
        <f t="shared" ref="R33:R34" si="21">Q33-P33</f>
        <v>0</v>
      </c>
      <c r="S33" s="166"/>
      <c r="T33" s="166"/>
      <c r="U33" s="166"/>
      <c r="V33" s="167"/>
      <c r="W33" s="68"/>
      <c r="X33" s="152">
        <v>207826.0</v>
      </c>
      <c r="Y33" s="148" t="s">
        <v>371</v>
      </c>
      <c r="Z33" s="148" t="s">
        <v>181</v>
      </c>
      <c r="AA33" s="148">
        <v>963.0</v>
      </c>
      <c r="AB33" s="148">
        <v>50.0</v>
      </c>
      <c r="AC33" s="147"/>
      <c r="AD33" s="149"/>
    </row>
    <row r="34" ht="15.75" customHeight="1">
      <c r="A34" s="95" t="s">
        <v>132</v>
      </c>
      <c r="B34" s="16">
        <v>1965.0</v>
      </c>
      <c r="C34" s="96">
        <v>2.0</v>
      </c>
      <c r="D34" s="97">
        <f t="shared" si="18"/>
        <v>3930</v>
      </c>
      <c r="E34" s="65"/>
      <c r="F34" s="65"/>
      <c r="G34" s="65"/>
      <c r="H34" s="65"/>
      <c r="I34" s="65"/>
      <c r="J34" s="65"/>
      <c r="K34" s="95" t="s">
        <v>111</v>
      </c>
      <c r="L34" s="189">
        <f>'DAILY STOCKS (F)'!Q34</f>
        <v>11</v>
      </c>
      <c r="M34" s="108">
        <v>0.0</v>
      </c>
      <c r="N34" s="136">
        <f t="shared" si="19"/>
        <v>0</v>
      </c>
      <c r="O34" s="168"/>
      <c r="P34" s="169">
        <f t="shared" si="20"/>
        <v>11</v>
      </c>
      <c r="Q34" s="170">
        <v>11.0</v>
      </c>
      <c r="R34" s="171">
        <f t="shared" si="21"/>
        <v>0</v>
      </c>
      <c r="S34" s="166"/>
      <c r="T34" s="166"/>
      <c r="U34" s="172"/>
      <c r="V34" s="167"/>
      <c r="W34" s="68"/>
      <c r="X34" s="152">
        <v>207827.0</v>
      </c>
      <c r="Y34" s="148" t="s">
        <v>372</v>
      </c>
      <c r="Z34" s="148" t="s">
        <v>181</v>
      </c>
      <c r="AA34" s="148">
        <v>963.0</v>
      </c>
      <c r="AB34" s="148">
        <v>50.0</v>
      </c>
      <c r="AC34" s="147"/>
      <c r="AD34" s="149"/>
    </row>
    <row r="35" ht="15.75" customHeight="1">
      <c r="A35" s="107" t="s">
        <v>135</v>
      </c>
      <c r="B35" s="16">
        <v>4459.0</v>
      </c>
      <c r="C35" s="106">
        <v>0.0</v>
      </c>
      <c r="D35" s="97">
        <f t="shared" si="18"/>
        <v>0</v>
      </c>
      <c r="E35" s="65"/>
      <c r="F35" s="65"/>
      <c r="G35" s="65"/>
      <c r="H35" s="65"/>
      <c r="I35" s="65"/>
      <c r="J35" s="65"/>
      <c r="K35" s="110" t="s">
        <v>114</v>
      </c>
      <c r="L35" s="173"/>
      <c r="M35" s="112"/>
      <c r="N35" s="174"/>
      <c r="O35" s="112"/>
      <c r="P35" s="112"/>
      <c r="Q35" s="112"/>
      <c r="R35" s="175"/>
      <c r="S35" s="166"/>
      <c r="T35" s="166"/>
      <c r="U35" s="166"/>
      <c r="V35" s="167"/>
      <c r="W35" s="68"/>
      <c r="X35" s="152">
        <v>207828.0</v>
      </c>
      <c r="Y35" s="148" t="s">
        <v>136</v>
      </c>
      <c r="Z35" s="148" t="s">
        <v>156</v>
      </c>
      <c r="AA35" s="147"/>
      <c r="AB35" s="147"/>
      <c r="AC35" s="148">
        <v>2026.0</v>
      </c>
      <c r="AD35" s="149"/>
    </row>
    <row r="36" ht="15.75" customHeight="1">
      <c r="A36" s="107" t="s">
        <v>138</v>
      </c>
      <c r="B36" s="16">
        <v>4459.0</v>
      </c>
      <c r="C36" s="96">
        <v>1.0</v>
      </c>
      <c r="D36" s="97">
        <f t="shared" si="18"/>
        <v>4459</v>
      </c>
      <c r="E36" s="65"/>
      <c r="F36" s="65"/>
      <c r="G36" s="65"/>
      <c r="H36" s="65"/>
      <c r="I36" s="65"/>
      <c r="J36" s="65"/>
      <c r="K36" s="95" t="s">
        <v>118</v>
      </c>
      <c r="L36" s="189">
        <f>'DAILY STOCKS (F)'!Q36</f>
        <v>18</v>
      </c>
      <c r="M36" s="108">
        <v>0.0</v>
      </c>
      <c r="N36" s="136">
        <f t="shared" ref="N36:N41" si="22">C7</f>
        <v>0</v>
      </c>
      <c r="O36" s="168"/>
      <c r="P36" s="169">
        <f t="shared" ref="P36:P41" si="23">L36+M36-N36-O36</f>
        <v>18</v>
      </c>
      <c r="Q36" s="170">
        <v>18.0</v>
      </c>
      <c r="R36" s="171">
        <f t="shared" ref="R36:R41" si="24">Q36-P36</f>
        <v>0</v>
      </c>
      <c r="S36" s="166"/>
      <c r="T36" s="166"/>
      <c r="U36" s="166"/>
      <c r="V36" s="167"/>
      <c r="W36" s="68"/>
      <c r="X36" s="151"/>
      <c r="Y36" s="147"/>
      <c r="Z36" s="148" t="s">
        <v>181</v>
      </c>
      <c r="AA36" s="147"/>
      <c r="AB36" s="147"/>
      <c r="AC36" s="148">
        <v>1013.0</v>
      </c>
      <c r="AD36" s="149"/>
    </row>
    <row r="37" ht="15.75" customHeight="1">
      <c r="A37" s="114" t="s">
        <v>173</v>
      </c>
      <c r="B37" s="111"/>
      <c r="C37" s="112"/>
      <c r="D37" s="113"/>
      <c r="E37" s="65"/>
      <c r="F37" s="65"/>
      <c r="G37" s="65"/>
      <c r="H37" s="65"/>
      <c r="I37" s="65"/>
      <c r="J37" s="65"/>
      <c r="K37" s="95" t="s">
        <v>121</v>
      </c>
      <c r="L37" s="189">
        <f>'DAILY STOCKS (F)'!Q37</f>
        <v>2</v>
      </c>
      <c r="M37" s="108">
        <v>0.0</v>
      </c>
      <c r="N37" s="136">
        <f t="shared" si="22"/>
        <v>0</v>
      </c>
      <c r="O37" s="168"/>
      <c r="P37" s="169">
        <f t="shared" si="23"/>
        <v>2</v>
      </c>
      <c r="Q37" s="170">
        <v>2.0</v>
      </c>
      <c r="R37" s="171">
        <f t="shared" si="24"/>
        <v>0</v>
      </c>
      <c r="S37" s="166"/>
      <c r="T37" s="166"/>
      <c r="U37" s="166"/>
      <c r="V37" s="167"/>
      <c r="W37" s="68"/>
      <c r="X37" s="152">
        <v>207829.0</v>
      </c>
      <c r="Y37" s="148" t="s">
        <v>373</v>
      </c>
      <c r="Z37" s="148" t="s">
        <v>154</v>
      </c>
      <c r="AA37" s="148">
        <v>268.0</v>
      </c>
      <c r="AB37" s="148">
        <v>12.0</v>
      </c>
      <c r="AC37" s="147"/>
      <c r="AD37" s="149"/>
    </row>
    <row r="38" ht="15.75" customHeight="1">
      <c r="A38" s="95" t="s">
        <v>109</v>
      </c>
      <c r="B38" s="176">
        <f t="shared" ref="B38:B48" si="25">B26</f>
        <v>280</v>
      </c>
      <c r="C38" s="106">
        <v>0.0</v>
      </c>
      <c r="D38" s="97">
        <f t="shared" ref="D38:D48" si="26">C38*B38</f>
        <v>0</v>
      </c>
      <c r="E38" s="65"/>
      <c r="F38" s="65"/>
      <c r="G38" s="65"/>
      <c r="H38" s="65"/>
      <c r="I38" s="65"/>
      <c r="J38" s="65"/>
      <c r="K38" s="95" t="s">
        <v>123</v>
      </c>
      <c r="L38" s="189">
        <f>'DAILY STOCKS (F)'!Q38</f>
        <v>84</v>
      </c>
      <c r="M38" s="108">
        <v>0.0</v>
      </c>
      <c r="N38" s="136">
        <f t="shared" si="22"/>
        <v>0</v>
      </c>
      <c r="O38" s="168"/>
      <c r="P38" s="169">
        <f t="shared" si="23"/>
        <v>84</v>
      </c>
      <c r="Q38" s="170">
        <v>84.0</v>
      </c>
      <c r="R38" s="171">
        <f t="shared" si="24"/>
        <v>0</v>
      </c>
      <c r="S38" s="166"/>
      <c r="T38" s="166"/>
      <c r="U38" s="166"/>
      <c r="V38" s="167"/>
      <c r="W38" s="68"/>
      <c r="X38" s="152">
        <v>207830.0</v>
      </c>
      <c r="Y38" s="148" t="s">
        <v>286</v>
      </c>
      <c r="Z38" s="148" t="s">
        <v>172</v>
      </c>
      <c r="AA38" s="148">
        <v>938.0</v>
      </c>
      <c r="AB38" s="148">
        <v>75.0</v>
      </c>
      <c r="AC38" s="147"/>
      <c r="AD38" s="149"/>
    </row>
    <row r="39" ht="15.75" customHeight="1">
      <c r="A39" s="107" t="s">
        <v>112</v>
      </c>
      <c r="B39" s="176">
        <f t="shared" si="25"/>
        <v>280</v>
      </c>
      <c r="C39" s="96">
        <v>0.0</v>
      </c>
      <c r="D39" s="97">
        <f t="shared" si="26"/>
        <v>0</v>
      </c>
      <c r="E39" s="65"/>
      <c r="F39" s="65"/>
      <c r="G39" s="65"/>
      <c r="H39" s="65"/>
      <c r="I39" s="65"/>
      <c r="J39" s="65"/>
      <c r="K39" s="95" t="s">
        <v>125</v>
      </c>
      <c r="L39" s="189" t="str">
        <f>'DAILY STOCKS (F)'!Q39</f>
        <v/>
      </c>
      <c r="M39" s="108">
        <v>0.0</v>
      </c>
      <c r="N39" s="136">
        <f t="shared" si="22"/>
        <v>0</v>
      </c>
      <c r="O39" s="168"/>
      <c r="P39" s="169">
        <f t="shared" si="23"/>
        <v>0</v>
      </c>
      <c r="Q39" s="168"/>
      <c r="R39" s="171">
        <f t="shared" si="24"/>
        <v>0</v>
      </c>
      <c r="S39" s="166"/>
      <c r="T39" s="166"/>
      <c r="U39" s="166"/>
      <c r="V39" s="167"/>
      <c r="W39" s="68"/>
      <c r="X39" s="152">
        <v>207831.0</v>
      </c>
      <c r="Y39" s="148" t="s">
        <v>374</v>
      </c>
      <c r="Z39" s="148" t="s">
        <v>156</v>
      </c>
      <c r="AA39" s="148">
        <v>1876.0</v>
      </c>
      <c r="AB39" s="148">
        <v>150.0</v>
      </c>
      <c r="AC39" s="147"/>
      <c r="AD39" s="149"/>
    </row>
    <row r="40" ht="15.75" customHeight="1">
      <c r="A40" s="107" t="s">
        <v>115</v>
      </c>
      <c r="B40" s="176">
        <f t="shared" si="25"/>
        <v>688</v>
      </c>
      <c r="C40" s="96">
        <v>0.0</v>
      </c>
      <c r="D40" s="97">
        <f t="shared" si="26"/>
        <v>0</v>
      </c>
      <c r="E40" s="65"/>
      <c r="F40" s="65"/>
      <c r="G40" s="65"/>
      <c r="H40" s="65"/>
      <c r="I40" s="65"/>
      <c r="J40" s="65"/>
      <c r="K40" s="95" t="s">
        <v>128</v>
      </c>
      <c r="L40" s="189" t="str">
        <f>'DAILY STOCKS (F)'!Q40</f>
        <v/>
      </c>
      <c r="M40" s="108">
        <v>0.0</v>
      </c>
      <c r="N40" s="136">
        <f t="shared" si="22"/>
        <v>0</v>
      </c>
      <c r="O40" s="168"/>
      <c r="P40" s="169">
        <f t="shared" si="23"/>
        <v>0</v>
      </c>
      <c r="Q40" s="168"/>
      <c r="R40" s="171">
        <f t="shared" si="24"/>
        <v>0</v>
      </c>
      <c r="S40" s="166"/>
      <c r="T40" s="166"/>
      <c r="U40" s="166"/>
      <c r="V40" s="167"/>
      <c r="W40" s="68"/>
      <c r="X40" s="152">
        <v>207832.0</v>
      </c>
      <c r="Y40" s="148" t="s">
        <v>136</v>
      </c>
      <c r="Z40" s="148" t="s">
        <v>186</v>
      </c>
      <c r="AA40" s="147"/>
      <c r="AB40" s="147"/>
      <c r="AC40" s="148">
        <v>688.0</v>
      </c>
      <c r="AD40" s="149"/>
    </row>
    <row r="41" ht="15.75" customHeight="1">
      <c r="A41" s="107" t="s">
        <v>119</v>
      </c>
      <c r="B41" s="176">
        <f t="shared" si="25"/>
        <v>688</v>
      </c>
      <c r="C41" s="96">
        <v>0.0</v>
      </c>
      <c r="D41" s="97">
        <f t="shared" si="26"/>
        <v>0</v>
      </c>
      <c r="E41" s="65"/>
      <c r="F41" s="65"/>
      <c r="G41" s="65"/>
      <c r="H41" s="65"/>
      <c r="I41" s="65"/>
      <c r="J41" s="65"/>
      <c r="K41" s="117" t="s">
        <v>131</v>
      </c>
      <c r="L41" s="222" t="str">
        <f>'DAILY STOCKS (F)'!Q41</f>
        <v/>
      </c>
      <c r="M41" s="119">
        <v>0.0</v>
      </c>
      <c r="N41" s="154">
        <f t="shared" si="22"/>
        <v>0</v>
      </c>
      <c r="O41" s="178"/>
      <c r="P41" s="179">
        <f t="shared" si="23"/>
        <v>0</v>
      </c>
      <c r="Q41" s="178"/>
      <c r="R41" s="181">
        <f t="shared" si="24"/>
        <v>0</v>
      </c>
      <c r="S41" s="166"/>
      <c r="T41" s="166"/>
      <c r="U41" s="166"/>
      <c r="V41" s="167"/>
      <c r="W41" s="68"/>
      <c r="X41" s="152">
        <v>207833.0</v>
      </c>
      <c r="Y41" s="148" t="s">
        <v>375</v>
      </c>
      <c r="Z41" s="148" t="s">
        <v>181</v>
      </c>
      <c r="AA41" s="148">
        <v>963.0</v>
      </c>
      <c r="AB41" s="148">
        <v>50.0</v>
      </c>
      <c r="AC41" s="147"/>
      <c r="AD41" s="149"/>
    </row>
    <row r="42" ht="15.75" customHeight="1">
      <c r="A42" s="107" t="s">
        <v>103</v>
      </c>
      <c r="B42" s="176">
        <f t="shared" si="25"/>
        <v>1013</v>
      </c>
      <c r="C42" s="96">
        <v>0.0</v>
      </c>
      <c r="D42" s="97">
        <f t="shared" si="26"/>
        <v>0</v>
      </c>
      <c r="E42" s="65"/>
      <c r="F42" s="65"/>
      <c r="G42" s="65"/>
      <c r="H42" s="65"/>
      <c r="I42" s="65"/>
      <c r="J42" s="65"/>
      <c r="Q42" s="166"/>
      <c r="R42" s="166"/>
      <c r="S42" s="166"/>
      <c r="T42" s="166"/>
      <c r="U42" s="166"/>
      <c r="V42" s="167"/>
      <c r="W42" s="68"/>
      <c r="X42" s="152">
        <v>207834.0</v>
      </c>
      <c r="Y42" s="148" t="s">
        <v>322</v>
      </c>
      <c r="Z42" s="148" t="s">
        <v>172</v>
      </c>
      <c r="AA42" s="148">
        <v>938.0</v>
      </c>
      <c r="AB42" s="148">
        <v>75.0</v>
      </c>
      <c r="AC42" s="147"/>
      <c r="AD42" s="149"/>
    </row>
    <row r="43" ht="15.75" customHeight="1">
      <c r="A43" s="107" t="s">
        <v>104</v>
      </c>
      <c r="B43" s="176">
        <f t="shared" si="25"/>
        <v>1013</v>
      </c>
      <c r="C43" s="96">
        <v>0.0</v>
      </c>
      <c r="D43" s="97">
        <f t="shared" si="26"/>
        <v>0</v>
      </c>
      <c r="E43" s="65"/>
      <c r="F43" s="65"/>
      <c r="G43" s="65"/>
      <c r="H43" s="65"/>
      <c r="I43" s="65"/>
      <c r="J43" s="65"/>
      <c r="Q43" s="166"/>
      <c r="R43" s="166"/>
      <c r="S43" s="166"/>
      <c r="T43" s="166"/>
      <c r="U43" s="166"/>
      <c r="V43" s="167"/>
      <c r="W43" s="68"/>
      <c r="X43" s="152">
        <v>207835.0</v>
      </c>
      <c r="Y43" s="148" t="s">
        <v>376</v>
      </c>
      <c r="Z43" s="148" t="s">
        <v>196</v>
      </c>
      <c r="AA43" s="148">
        <v>1789.0</v>
      </c>
      <c r="AB43" s="148">
        <v>176.0</v>
      </c>
      <c r="AC43" s="147"/>
      <c r="AD43" s="149"/>
    </row>
    <row r="44" ht="15.75" customHeight="1">
      <c r="A44" s="107" t="s">
        <v>126</v>
      </c>
      <c r="B44" s="176">
        <f t="shared" si="25"/>
        <v>1038</v>
      </c>
      <c r="C44" s="106">
        <v>0.0</v>
      </c>
      <c r="D44" s="97">
        <f t="shared" si="26"/>
        <v>0</v>
      </c>
      <c r="E44" s="65"/>
      <c r="F44" s="65"/>
      <c r="G44" s="65"/>
      <c r="H44" s="65"/>
      <c r="I44" s="65"/>
      <c r="J44" s="65"/>
      <c r="K44" s="128" t="s">
        <v>182</v>
      </c>
      <c r="L44" s="72" t="s">
        <v>85</v>
      </c>
      <c r="M44" s="72" t="s">
        <v>92</v>
      </c>
      <c r="N44" s="130" t="s">
        <v>94</v>
      </c>
      <c r="O44" s="224" t="s">
        <v>183</v>
      </c>
      <c r="Q44" s="166"/>
      <c r="R44" s="166"/>
      <c r="S44" s="183"/>
      <c r="T44" s="183"/>
      <c r="U44" s="183"/>
      <c r="V44" s="184"/>
      <c r="W44" s="68"/>
      <c r="X44" s="152">
        <v>207836.0</v>
      </c>
      <c r="Y44" s="148" t="s">
        <v>242</v>
      </c>
      <c r="Z44" s="148" t="s">
        <v>172</v>
      </c>
      <c r="AA44" s="148">
        <v>938.0</v>
      </c>
      <c r="AB44" s="148">
        <v>75.0</v>
      </c>
      <c r="AC44" s="147"/>
      <c r="AD44" s="149"/>
    </row>
    <row r="45" ht="15.75" customHeight="1">
      <c r="A45" s="107" t="s">
        <v>129</v>
      </c>
      <c r="B45" s="176">
        <f t="shared" si="25"/>
        <v>1038</v>
      </c>
      <c r="C45" s="106">
        <v>0.0</v>
      </c>
      <c r="D45" s="97">
        <f t="shared" si="26"/>
        <v>0</v>
      </c>
      <c r="E45" s="65"/>
      <c r="F45" s="65"/>
      <c r="G45" s="65"/>
      <c r="H45" s="65"/>
      <c r="I45" s="65"/>
      <c r="J45" s="65"/>
      <c r="K45" s="203" t="s">
        <v>109</v>
      </c>
      <c r="L45" s="101">
        <f t="shared" ref="L45:L55" si="27">L4+L18</f>
        <v>68</v>
      </c>
      <c r="M45" s="132">
        <f t="shared" ref="M45:M55" si="28">T4+Q18</f>
        <v>68</v>
      </c>
      <c r="N45" s="135">
        <f t="shared" ref="N45:N55" si="29">M45-L45</f>
        <v>0</v>
      </c>
      <c r="O45" s="65"/>
      <c r="P45" s="166"/>
      <c r="Q45" s="183"/>
      <c r="R45" s="183"/>
      <c r="S45" s="187"/>
      <c r="T45" s="187"/>
      <c r="U45" s="187"/>
      <c r="V45" s="188"/>
      <c r="W45" s="68"/>
      <c r="X45" s="152">
        <v>207837.0</v>
      </c>
      <c r="Y45" s="148" t="s">
        <v>377</v>
      </c>
      <c r="Z45" s="148" t="s">
        <v>172</v>
      </c>
      <c r="AA45" s="148">
        <v>963.0</v>
      </c>
      <c r="AB45" s="148">
        <v>50.0</v>
      </c>
      <c r="AC45" s="147"/>
      <c r="AD45" s="149"/>
    </row>
    <row r="46" ht="15.75" customHeight="1">
      <c r="A46" s="95" t="s">
        <v>132</v>
      </c>
      <c r="B46" s="176">
        <f t="shared" si="25"/>
        <v>1965</v>
      </c>
      <c r="C46" s="106">
        <v>0.0</v>
      </c>
      <c r="D46" s="97">
        <f t="shared" si="26"/>
        <v>0</v>
      </c>
      <c r="E46" s="68"/>
      <c r="F46" s="68"/>
      <c r="G46" s="68"/>
      <c r="H46" s="68"/>
      <c r="I46" s="68"/>
      <c r="J46" s="68"/>
      <c r="K46" s="98" t="s">
        <v>112</v>
      </c>
      <c r="L46" s="189">
        <f t="shared" si="27"/>
        <v>17</v>
      </c>
      <c r="M46" s="136">
        <f t="shared" si="28"/>
        <v>17</v>
      </c>
      <c r="N46" s="139">
        <f t="shared" si="29"/>
        <v>0</v>
      </c>
      <c r="O46" s="65"/>
      <c r="P46" s="187"/>
      <c r="Q46" s="187"/>
      <c r="R46" s="187"/>
      <c r="S46" s="187"/>
      <c r="T46" s="187"/>
      <c r="U46" s="187"/>
      <c r="V46" s="188"/>
      <c r="W46" s="68"/>
      <c r="X46" s="152">
        <v>207838.0</v>
      </c>
      <c r="Y46" s="148" t="s">
        <v>378</v>
      </c>
      <c r="Z46" s="148" t="s">
        <v>154</v>
      </c>
      <c r="AA46" s="148">
        <v>280.0</v>
      </c>
      <c r="AB46" s="147"/>
      <c r="AC46" s="147"/>
      <c r="AD46" s="149"/>
    </row>
    <row r="47" ht="15.75" customHeight="1">
      <c r="A47" s="107" t="s">
        <v>135</v>
      </c>
      <c r="B47" s="176">
        <f t="shared" si="25"/>
        <v>4459</v>
      </c>
      <c r="C47" s="106">
        <v>0.0</v>
      </c>
      <c r="D47" s="97">
        <f t="shared" si="26"/>
        <v>0</v>
      </c>
      <c r="E47" s="68"/>
      <c r="F47" s="68"/>
      <c r="G47" s="68"/>
      <c r="H47" s="68"/>
      <c r="I47" s="68"/>
      <c r="J47" s="68"/>
      <c r="K47" s="204" t="s">
        <v>188</v>
      </c>
      <c r="L47" s="189">
        <f t="shared" si="27"/>
        <v>19</v>
      </c>
      <c r="M47" s="136">
        <f t="shared" si="28"/>
        <v>19</v>
      </c>
      <c r="N47" s="139">
        <f t="shared" si="29"/>
        <v>0</v>
      </c>
      <c r="O47" s="65"/>
      <c r="P47" s="187"/>
      <c r="Q47" s="187"/>
      <c r="R47" s="187"/>
      <c r="S47" s="187"/>
      <c r="T47" s="187"/>
      <c r="U47" s="187"/>
      <c r="V47" s="188"/>
      <c r="W47" s="68"/>
      <c r="X47" s="152">
        <v>207839.0</v>
      </c>
      <c r="Y47" s="148" t="s">
        <v>379</v>
      </c>
      <c r="Z47" s="148" t="s">
        <v>179</v>
      </c>
      <c r="AA47" s="148">
        <v>667.0</v>
      </c>
      <c r="AB47" s="148">
        <v>21.0</v>
      </c>
      <c r="AC47" s="147"/>
      <c r="AD47" s="149"/>
    </row>
    <row r="48" ht="15.75" customHeight="1">
      <c r="A48" s="107" t="s">
        <v>138</v>
      </c>
      <c r="B48" s="190">
        <f t="shared" si="25"/>
        <v>4459</v>
      </c>
      <c r="C48" s="191">
        <v>0.0</v>
      </c>
      <c r="D48" s="97">
        <f t="shared" si="26"/>
        <v>0</v>
      </c>
      <c r="E48" s="68"/>
      <c r="F48" s="68"/>
      <c r="G48" s="68"/>
      <c r="H48" s="68"/>
      <c r="I48" s="68"/>
      <c r="J48" s="68"/>
      <c r="K48" s="204" t="s">
        <v>190</v>
      </c>
      <c r="L48" s="189">
        <f t="shared" si="27"/>
        <v>31</v>
      </c>
      <c r="M48" s="136">
        <f t="shared" si="28"/>
        <v>31</v>
      </c>
      <c r="N48" s="139">
        <f t="shared" si="29"/>
        <v>0</v>
      </c>
      <c r="O48" s="65"/>
      <c r="P48" s="187"/>
      <c r="Q48" s="187"/>
      <c r="R48" s="187"/>
      <c r="S48" s="187"/>
      <c r="T48" s="187"/>
      <c r="U48" s="187"/>
      <c r="V48" s="188"/>
      <c r="W48" s="68"/>
      <c r="X48" s="152">
        <v>207840.0</v>
      </c>
      <c r="Y48" s="148" t="s">
        <v>380</v>
      </c>
      <c r="Z48" s="148" t="s">
        <v>154</v>
      </c>
      <c r="AA48" s="148">
        <v>280.0</v>
      </c>
      <c r="AB48" s="147"/>
      <c r="AC48" s="147"/>
      <c r="AD48" s="149"/>
    </row>
    <row r="49" ht="15.75" customHeight="1">
      <c r="A49" s="128" t="s">
        <v>80</v>
      </c>
      <c r="B49" s="192"/>
      <c r="C49" s="64"/>
      <c r="D49" s="193">
        <f>sum(D4:D48)</f>
        <v>138215</v>
      </c>
      <c r="E49" s="68"/>
      <c r="F49" s="68"/>
      <c r="G49" s="68"/>
      <c r="H49" s="68"/>
      <c r="I49" s="68"/>
      <c r="J49" s="68"/>
      <c r="K49" s="204" t="s">
        <v>191</v>
      </c>
      <c r="L49" s="189">
        <f t="shared" si="27"/>
        <v>165</v>
      </c>
      <c r="M49" s="136">
        <f t="shared" si="28"/>
        <v>151</v>
      </c>
      <c r="N49" s="139">
        <f t="shared" si="29"/>
        <v>-14</v>
      </c>
      <c r="O49" s="221" t="s">
        <v>381</v>
      </c>
      <c r="P49" s="187"/>
      <c r="Q49" s="187"/>
      <c r="R49" s="187"/>
      <c r="S49" s="187"/>
      <c r="T49" s="187"/>
      <c r="U49" s="187"/>
      <c r="V49" s="188"/>
      <c r="W49" s="68"/>
      <c r="X49" s="152">
        <v>207841.0</v>
      </c>
      <c r="Y49" s="148" t="s">
        <v>382</v>
      </c>
      <c r="Z49" s="148" t="s">
        <v>172</v>
      </c>
      <c r="AA49" s="148">
        <v>938.0</v>
      </c>
      <c r="AB49" s="148">
        <v>75.0</v>
      </c>
      <c r="AC49" s="147"/>
      <c r="AD49" s="149"/>
    </row>
    <row r="50" ht="15.75" customHeight="1">
      <c r="A50" s="194"/>
      <c r="B50" s="54"/>
      <c r="C50" s="65"/>
      <c r="D50" s="59"/>
      <c r="E50" s="68"/>
      <c r="F50" s="68"/>
      <c r="G50" s="68"/>
      <c r="H50" s="68"/>
      <c r="I50" s="68"/>
      <c r="J50" s="68"/>
      <c r="K50" s="204" t="s">
        <v>194</v>
      </c>
      <c r="L50" s="189">
        <f t="shared" si="27"/>
        <v>140</v>
      </c>
      <c r="M50" s="136" t="str">
        <f t="shared" si="28"/>
        <v>#VALUE!</v>
      </c>
      <c r="N50" s="139" t="str">
        <f t="shared" si="29"/>
        <v>#VALUE!</v>
      </c>
      <c r="O50" s="65"/>
      <c r="P50" s="187"/>
      <c r="Q50" s="187"/>
      <c r="R50" s="187"/>
      <c r="S50" s="187"/>
      <c r="T50" s="187"/>
      <c r="U50" s="187"/>
      <c r="V50" s="188"/>
      <c r="W50" s="68"/>
      <c r="X50" s="152">
        <v>207842.0</v>
      </c>
      <c r="Y50" s="148" t="s">
        <v>136</v>
      </c>
      <c r="Z50" s="148" t="s">
        <v>189</v>
      </c>
      <c r="AA50" s="147"/>
      <c r="AB50" s="148"/>
      <c r="AC50" s="148">
        <v>3039.0</v>
      </c>
      <c r="AD50" s="149"/>
    </row>
    <row r="51" ht="15.75" customHeight="1">
      <c r="A51" s="195"/>
      <c r="B51" s="196"/>
      <c r="C51" s="127"/>
      <c r="D51" s="59"/>
      <c r="E51" s="68"/>
      <c r="F51" s="68"/>
      <c r="G51" s="68"/>
      <c r="H51" s="68"/>
      <c r="I51" s="68"/>
      <c r="J51" s="68"/>
      <c r="K51" s="204" t="s">
        <v>197</v>
      </c>
      <c r="L51" s="189">
        <f t="shared" si="27"/>
        <v>10</v>
      </c>
      <c r="M51" s="136">
        <f t="shared" si="28"/>
        <v>10</v>
      </c>
      <c r="N51" s="139">
        <f t="shared" si="29"/>
        <v>0</v>
      </c>
      <c r="O51" s="65"/>
      <c r="P51" s="187"/>
      <c r="Q51" s="187"/>
      <c r="R51" s="187"/>
      <c r="S51" s="187"/>
      <c r="T51" s="187"/>
      <c r="U51" s="187"/>
      <c r="V51" s="188"/>
      <c r="W51" s="68"/>
      <c r="X51" s="152">
        <v>207843.0</v>
      </c>
      <c r="Y51" s="148" t="s">
        <v>286</v>
      </c>
      <c r="Z51" s="148" t="s">
        <v>181</v>
      </c>
      <c r="AA51" s="148">
        <v>938.0</v>
      </c>
      <c r="AB51" s="148">
        <v>75.0</v>
      </c>
      <c r="AC51" s="147"/>
      <c r="AD51" s="149"/>
    </row>
    <row r="52" ht="15.75" customHeight="1">
      <c r="A52" s="197" t="s">
        <v>199</v>
      </c>
      <c r="B52" s="71" t="s">
        <v>200</v>
      </c>
      <c r="C52" s="65"/>
      <c r="D52" s="59"/>
      <c r="E52" s="68"/>
      <c r="F52" s="68"/>
      <c r="G52" s="68"/>
      <c r="H52" s="68"/>
      <c r="I52" s="68"/>
      <c r="J52" s="68"/>
      <c r="K52" s="204" t="s">
        <v>201</v>
      </c>
      <c r="L52" s="189">
        <f t="shared" si="27"/>
        <v>75</v>
      </c>
      <c r="M52" s="136">
        <f t="shared" si="28"/>
        <v>75</v>
      </c>
      <c r="N52" s="139">
        <f t="shared" si="29"/>
        <v>0</v>
      </c>
      <c r="O52" s="65"/>
      <c r="P52" s="187"/>
      <c r="Q52" s="187"/>
      <c r="R52" s="187"/>
      <c r="S52" s="187"/>
      <c r="T52" s="187"/>
      <c r="U52" s="187"/>
      <c r="V52" s="188"/>
      <c r="W52" s="68"/>
      <c r="X52" s="152">
        <v>207844.0</v>
      </c>
      <c r="Y52" s="148" t="s">
        <v>383</v>
      </c>
      <c r="Z52" s="148" t="s">
        <v>154</v>
      </c>
      <c r="AA52" s="148">
        <v>280.0</v>
      </c>
      <c r="AB52" s="147"/>
      <c r="AC52" s="147"/>
      <c r="AD52" s="149"/>
    </row>
    <row r="53" ht="15.75" customHeight="1">
      <c r="A53" s="95" t="s">
        <v>109</v>
      </c>
      <c r="B53" s="198">
        <v>1200.0</v>
      </c>
      <c r="C53" s="127"/>
      <c r="D53" s="59"/>
      <c r="K53" s="204" t="s">
        <v>132</v>
      </c>
      <c r="L53" s="189">
        <f t="shared" si="27"/>
        <v>6</v>
      </c>
      <c r="M53" s="136">
        <f t="shared" si="28"/>
        <v>6</v>
      </c>
      <c r="N53" s="139">
        <f t="shared" si="29"/>
        <v>0</v>
      </c>
      <c r="O53" s="65"/>
      <c r="P53" s="187"/>
      <c r="Q53" s="187"/>
      <c r="R53" s="187"/>
      <c r="S53" s="187"/>
      <c r="T53" s="187"/>
      <c r="U53" s="187"/>
      <c r="V53" s="188"/>
      <c r="X53" s="177">
        <v>207845.0</v>
      </c>
      <c r="Y53" s="141" t="s">
        <v>384</v>
      </c>
      <c r="Z53" s="141" t="s">
        <v>179</v>
      </c>
      <c r="AA53" s="141">
        <v>688.0</v>
      </c>
      <c r="AB53" s="137"/>
      <c r="AC53" s="137"/>
      <c r="AD53" s="144"/>
    </row>
    <row r="54" ht="15.75" customHeight="1">
      <c r="A54" s="107" t="s">
        <v>112</v>
      </c>
      <c r="B54" s="199">
        <v>1200.0</v>
      </c>
      <c r="C54" s="127"/>
      <c r="D54" s="200"/>
      <c r="K54" s="204" t="s">
        <v>204</v>
      </c>
      <c r="L54" s="189">
        <f t="shared" si="27"/>
        <v>31</v>
      </c>
      <c r="M54" s="136">
        <f t="shared" si="28"/>
        <v>31</v>
      </c>
      <c r="N54" s="139">
        <f t="shared" si="29"/>
        <v>0</v>
      </c>
      <c r="O54" s="65"/>
      <c r="P54" s="187"/>
      <c r="Q54" s="187"/>
      <c r="R54" s="187"/>
      <c r="S54" s="187"/>
      <c r="T54" s="187"/>
      <c r="U54" s="187"/>
      <c r="V54" s="188"/>
      <c r="X54" s="177">
        <v>207846.0</v>
      </c>
      <c r="Y54" s="141" t="s">
        <v>385</v>
      </c>
      <c r="Z54" s="141" t="s">
        <v>179</v>
      </c>
      <c r="AA54" s="141">
        <v>688.0</v>
      </c>
      <c r="AB54" s="137"/>
      <c r="AC54" s="137"/>
      <c r="AD54" s="144"/>
    </row>
    <row r="55" ht="15.75" customHeight="1">
      <c r="A55" s="107" t="s">
        <v>115</v>
      </c>
      <c r="B55" s="199">
        <v>1900.0</v>
      </c>
      <c r="C55" s="127"/>
      <c r="D55" s="196"/>
      <c r="K55" s="209" t="s">
        <v>206</v>
      </c>
      <c r="L55" s="222">
        <f t="shared" si="27"/>
        <v>16</v>
      </c>
      <c r="M55" s="154">
        <f t="shared" si="28"/>
        <v>16</v>
      </c>
      <c r="N55" s="158">
        <f t="shared" si="29"/>
        <v>0</v>
      </c>
      <c r="O55" s="65"/>
      <c r="P55" s="187"/>
      <c r="Q55" s="187"/>
      <c r="R55" s="187"/>
      <c r="S55" s="187"/>
      <c r="T55" s="187"/>
      <c r="U55" s="187"/>
      <c r="V55" s="188"/>
      <c r="X55" s="143"/>
      <c r="Y55" s="137"/>
      <c r="Z55" s="137"/>
      <c r="AA55" s="137"/>
      <c r="AB55" s="137"/>
      <c r="AC55" s="137"/>
      <c r="AD55" s="144"/>
    </row>
    <row r="56" ht="15.75" customHeight="1">
      <c r="A56" s="107" t="s">
        <v>119</v>
      </c>
      <c r="B56" s="199">
        <v>1900.0</v>
      </c>
      <c r="C56" s="127"/>
      <c r="D56" s="196"/>
      <c r="E56" s="65"/>
      <c r="F56" s="65"/>
      <c r="G56" s="65"/>
      <c r="H56" s="65"/>
      <c r="I56" s="65"/>
      <c r="J56" s="65"/>
      <c r="K56" s="166"/>
      <c r="L56" s="201"/>
      <c r="P56" s="187"/>
      <c r="Q56" s="187"/>
      <c r="R56" s="187"/>
      <c r="S56" s="187"/>
      <c r="T56" s="187"/>
      <c r="U56" s="187"/>
      <c r="V56" s="188"/>
      <c r="X56" s="143"/>
      <c r="Y56" s="137"/>
      <c r="Z56" s="137"/>
      <c r="AA56" s="137"/>
      <c r="AB56" s="137"/>
      <c r="AC56" s="137"/>
      <c r="AD56" s="144"/>
    </row>
    <row r="57" ht="15.75" customHeight="1">
      <c r="A57" s="107" t="s">
        <v>103</v>
      </c>
      <c r="B57" s="199">
        <v>2000.0</v>
      </c>
      <c r="C57" s="127"/>
      <c r="D57" s="196"/>
      <c r="E57" s="65"/>
      <c r="F57" s="65"/>
      <c r="G57" s="65"/>
      <c r="H57" s="65"/>
      <c r="I57" s="65"/>
      <c r="J57" s="65"/>
      <c r="K57" s="166"/>
      <c r="L57" s="202"/>
      <c r="M57" s="166"/>
      <c r="N57" s="166"/>
      <c r="O57" s="166"/>
      <c r="P57" s="187"/>
      <c r="Q57" s="187"/>
      <c r="R57" s="187"/>
      <c r="X57" s="143"/>
      <c r="Y57" s="137"/>
      <c r="Z57" s="137"/>
      <c r="AA57" s="137"/>
      <c r="AB57" s="137"/>
      <c r="AC57" s="137"/>
      <c r="AD57" s="144"/>
    </row>
    <row r="58" ht="15.75" customHeight="1">
      <c r="A58" s="107" t="s">
        <v>104</v>
      </c>
      <c r="B58" s="199">
        <v>2000.0</v>
      </c>
      <c r="C58" s="127"/>
      <c r="D58" s="196"/>
      <c r="E58" s="65"/>
      <c r="F58" s="65"/>
      <c r="G58" s="65"/>
      <c r="H58" s="65"/>
      <c r="I58" s="65"/>
      <c r="J58" s="65"/>
      <c r="K58" s="128" t="s">
        <v>90</v>
      </c>
      <c r="L58" s="72" t="s">
        <v>85</v>
      </c>
      <c r="M58" s="128" t="s">
        <v>90</v>
      </c>
      <c r="N58" s="72" t="s">
        <v>145</v>
      </c>
      <c r="O58" s="72" t="s">
        <v>92</v>
      </c>
      <c r="X58" s="143"/>
      <c r="Y58" s="137"/>
      <c r="Z58" s="137"/>
      <c r="AA58" s="137"/>
      <c r="AB58" s="137"/>
      <c r="AC58" s="137"/>
      <c r="AD58" s="144"/>
    </row>
    <row r="59" ht="15.75" customHeight="1">
      <c r="A59" s="107" t="s">
        <v>126</v>
      </c>
      <c r="B59" s="199">
        <v>3700.0</v>
      </c>
      <c r="C59" s="127"/>
      <c r="D59" s="196"/>
      <c r="E59" s="65"/>
      <c r="F59" s="65"/>
      <c r="G59" s="65"/>
      <c r="H59" s="65"/>
      <c r="I59" s="65"/>
      <c r="J59" s="65"/>
      <c r="K59" s="203" t="s">
        <v>109</v>
      </c>
      <c r="L59" s="101">
        <f>'DAILY STOCKS (F)'!O59</f>
        <v>0</v>
      </c>
      <c r="M59" s="132">
        <f t="shared" ref="M59:M69" si="30">R4</f>
        <v>0</v>
      </c>
      <c r="N59" s="132" t="str">
        <f t="shared" ref="N59:N69" si="31">P18</f>
        <v/>
      </c>
      <c r="O59" s="135">
        <f t="shared" ref="O59:O69" si="32">L59+M59-N59</f>
        <v>0</v>
      </c>
      <c r="X59" s="143"/>
      <c r="Y59" s="137"/>
      <c r="Z59" s="137"/>
      <c r="AA59" s="137"/>
      <c r="AB59" s="137"/>
      <c r="AC59" s="137"/>
      <c r="AD59" s="144"/>
    </row>
    <row r="60" ht="15.75" customHeight="1">
      <c r="A60" s="107" t="s">
        <v>129</v>
      </c>
      <c r="B60" s="199">
        <v>3700.0</v>
      </c>
      <c r="C60" s="127"/>
      <c r="D60" s="196"/>
      <c r="E60" s="65"/>
      <c r="F60" s="65"/>
      <c r="G60" s="65"/>
      <c r="H60" s="65"/>
      <c r="I60" s="65"/>
      <c r="J60" s="65"/>
      <c r="K60" s="98" t="s">
        <v>112</v>
      </c>
      <c r="L60" s="101">
        <f>'DAILY STOCKS (F)'!O60</f>
        <v>0</v>
      </c>
      <c r="M60" s="136">
        <f t="shared" si="30"/>
        <v>0</v>
      </c>
      <c r="N60" s="136" t="str">
        <f t="shared" si="31"/>
        <v/>
      </c>
      <c r="O60" s="139">
        <f t="shared" si="32"/>
        <v>0</v>
      </c>
      <c r="X60" s="143"/>
      <c r="Y60" s="137"/>
      <c r="Z60" s="137"/>
      <c r="AA60" s="137"/>
      <c r="AB60" s="137"/>
      <c r="AC60" s="137"/>
      <c r="AD60" s="144"/>
    </row>
    <row r="61" ht="15.75" customHeight="1">
      <c r="A61" s="95" t="s">
        <v>132</v>
      </c>
      <c r="B61" s="199">
        <v>3700.0</v>
      </c>
      <c r="C61" s="127"/>
      <c r="D61" s="59"/>
      <c r="E61" s="65"/>
      <c r="F61" s="65"/>
      <c r="G61" s="65"/>
      <c r="H61" s="65"/>
      <c r="I61" s="65"/>
      <c r="J61" s="65"/>
      <c r="K61" s="204" t="s">
        <v>188</v>
      </c>
      <c r="L61" s="101">
        <f>'DAILY STOCKS (F)'!O61</f>
        <v>0</v>
      </c>
      <c r="M61" s="136">
        <f t="shared" si="30"/>
        <v>0</v>
      </c>
      <c r="N61" s="136" t="str">
        <f t="shared" si="31"/>
        <v/>
      </c>
      <c r="O61" s="139">
        <f t="shared" si="32"/>
        <v>0</v>
      </c>
      <c r="X61" s="143"/>
      <c r="Y61" s="137"/>
      <c r="Z61" s="137"/>
      <c r="AA61" s="137"/>
      <c r="AB61" s="137"/>
      <c r="AC61" s="137"/>
      <c r="AD61" s="144"/>
    </row>
    <row r="62" ht="15.75" customHeight="1">
      <c r="A62" s="107" t="s">
        <v>135</v>
      </c>
      <c r="B62" s="199">
        <v>5000.0</v>
      </c>
      <c r="C62" s="127"/>
      <c r="D62" s="59"/>
      <c r="E62" s="65"/>
      <c r="F62" s="65"/>
      <c r="G62" s="65"/>
      <c r="H62" s="65"/>
      <c r="I62" s="65"/>
      <c r="J62" s="65"/>
      <c r="K62" s="204" t="s">
        <v>190</v>
      </c>
      <c r="L62" s="101">
        <f>'DAILY STOCKS (F)'!O62</f>
        <v>0</v>
      </c>
      <c r="M62" s="136">
        <f t="shared" si="30"/>
        <v>0</v>
      </c>
      <c r="N62" s="136" t="str">
        <f t="shared" si="31"/>
        <v/>
      </c>
      <c r="O62" s="139">
        <f t="shared" si="32"/>
        <v>0</v>
      </c>
      <c r="X62" s="143"/>
      <c r="Y62" s="137"/>
      <c r="Z62" s="137"/>
      <c r="AA62" s="137"/>
      <c r="AB62" s="137"/>
      <c r="AC62" s="137"/>
      <c r="AD62" s="144"/>
    </row>
    <row r="63" ht="15.75" customHeight="1">
      <c r="A63" s="117" t="s">
        <v>138</v>
      </c>
      <c r="B63" s="205">
        <v>5000.0</v>
      </c>
      <c r="C63" s="127"/>
      <c r="D63" s="59"/>
      <c r="E63" s="65"/>
      <c r="F63" s="65"/>
      <c r="G63" s="65"/>
      <c r="H63" s="65"/>
      <c r="I63" s="65"/>
      <c r="J63" s="65"/>
      <c r="K63" s="204" t="s">
        <v>191</v>
      </c>
      <c r="L63" s="101">
        <f>'DAILY STOCKS (F)'!O63</f>
        <v>-1</v>
      </c>
      <c r="M63" s="136">
        <f t="shared" si="30"/>
        <v>0</v>
      </c>
      <c r="N63" s="136" t="str">
        <f t="shared" si="31"/>
        <v/>
      </c>
      <c r="O63" s="139">
        <f t="shared" si="32"/>
        <v>-1</v>
      </c>
      <c r="X63" s="143"/>
      <c r="Y63" s="137"/>
      <c r="Z63" s="137"/>
      <c r="AA63" s="137"/>
      <c r="AB63" s="137"/>
      <c r="AC63" s="137"/>
      <c r="AD63" s="144"/>
    </row>
    <row r="64" ht="15.75" customHeight="1">
      <c r="A64" s="195"/>
      <c r="B64" s="206"/>
      <c r="C64" s="65"/>
      <c r="D64" s="59"/>
      <c r="E64" s="65"/>
      <c r="F64" s="65"/>
      <c r="G64" s="65"/>
      <c r="H64" s="65"/>
      <c r="I64" s="65"/>
      <c r="J64" s="65"/>
      <c r="K64" s="204" t="s">
        <v>194</v>
      </c>
      <c r="L64" s="101">
        <f>'DAILY STOCKS (F)'!O64</f>
        <v>0</v>
      </c>
      <c r="M64" s="136">
        <f t="shared" si="30"/>
        <v>0</v>
      </c>
      <c r="N64" s="136" t="str">
        <f t="shared" si="31"/>
        <v/>
      </c>
      <c r="O64" s="139">
        <f t="shared" si="32"/>
        <v>0</v>
      </c>
      <c r="X64" s="143"/>
      <c r="Y64" s="137"/>
      <c r="Z64" s="137"/>
      <c r="AA64" s="137"/>
      <c r="AB64" s="137"/>
      <c r="AC64" s="137"/>
      <c r="AD64" s="144"/>
    </row>
    <row r="65" ht="15.75" customHeight="1">
      <c r="A65" s="195"/>
      <c r="B65" s="206"/>
      <c r="C65" s="207"/>
      <c r="D65" s="59"/>
      <c r="E65" s="65"/>
      <c r="F65" s="65"/>
      <c r="G65" s="65"/>
      <c r="H65" s="65"/>
      <c r="I65" s="65"/>
      <c r="J65" s="65"/>
      <c r="K65" s="204" t="s">
        <v>197</v>
      </c>
      <c r="L65" s="101">
        <f>'DAILY STOCKS (F)'!O65</f>
        <v>0</v>
      </c>
      <c r="M65" s="136">
        <f t="shared" si="30"/>
        <v>0</v>
      </c>
      <c r="N65" s="136" t="str">
        <f t="shared" si="31"/>
        <v/>
      </c>
      <c r="O65" s="139">
        <f t="shared" si="32"/>
        <v>0</v>
      </c>
      <c r="X65" s="143"/>
      <c r="Y65" s="137"/>
      <c r="Z65" s="137"/>
      <c r="AA65" s="137"/>
      <c r="AB65" s="137"/>
      <c r="AC65" s="137"/>
      <c r="AD65" s="144"/>
    </row>
    <row r="66" ht="15.75" customHeight="1">
      <c r="A66" s="195"/>
      <c r="B66" s="206"/>
      <c r="C66" s="207"/>
      <c r="D66" s="206"/>
      <c r="E66" s="208"/>
      <c r="F66" s="208"/>
      <c r="G66" s="208"/>
      <c r="H66" s="208"/>
      <c r="I66" s="208"/>
      <c r="J66" s="208"/>
      <c r="K66" s="204" t="s">
        <v>201</v>
      </c>
      <c r="L66" s="101">
        <f>'DAILY STOCKS (F)'!O66</f>
        <v>0</v>
      </c>
      <c r="M66" s="136">
        <f t="shared" si="30"/>
        <v>0</v>
      </c>
      <c r="N66" s="136" t="str">
        <f t="shared" si="31"/>
        <v/>
      </c>
      <c r="O66" s="139">
        <f t="shared" si="32"/>
        <v>0</v>
      </c>
      <c r="S66" s="187"/>
      <c r="T66" s="187"/>
      <c r="U66" s="187"/>
      <c r="V66" s="188"/>
      <c r="X66" s="143"/>
      <c r="Y66" s="137"/>
      <c r="Z66" s="137"/>
      <c r="AA66" s="137"/>
      <c r="AB66" s="137"/>
      <c r="AC66" s="137"/>
      <c r="AD66" s="144"/>
    </row>
    <row r="67" ht="15.75" customHeight="1">
      <c r="A67" s="195"/>
      <c r="B67" s="206"/>
      <c r="C67" s="207"/>
      <c r="D67" s="206"/>
      <c r="E67" s="65"/>
      <c r="F67" s="65"/>
      <c r="G67" s="65"/>
      <c r="H67" s="65"/>
      <c r="I67" s="65"/>
      <c r="J67" s="65"/>
      <c r="K67" s="204" t="s">
        <v>132</v>
      </c>
      <c r="L67" s="101">
        <f>'DAILY STOCKS (F)'!O67</f>
        <v>0</v>
      </c>
      <c r="M67" s="136">
        <f t="shared" si="30"/>
        <v>0</v>
      </c>
      <c r="N67" s="136" t="str">
        <f t="shared" si="31"/>
        <v/>
      </c>
      <c r="O67" s="139">
        <f t="shared" si="32"/>
        <v>0</v>
      </c>
      <c r="P67" s="187"/>
      <c r="Q67" s="187"/>
      <c r="R67" s="187"/>
      <c r="S67" s="187"/>
      <c r="T67" s="187"/>
      <c r="U67" s="187"/>
      <c r="V67" s="188"/>
      <c r="X67" s="143"/>
      <c r="Y67" s="137"/>
      <c r="Z67" s="137"/>
      <c r="AA67" s="137"/>
      <c r="AB67" s="137"/>
      <c r="AC67" s="137"/>
      <c r="AD67" s="144"/>
    </row>
    <row r="68" ht="15.75" customHeight="1">
      <c r="A68" s="195"/>
      <c r="B68" s="206"/>
      <c r="C68" s="207"/>
      <c r="D68" s="206"/>
      <c r="E68" s="65"/>
      <c r="F68" s="65"/>
      <c r="G68" s="65"/>
      <c r="H68" s="65"/>
      <c r="I68" s="65"/>
      <c r="J68" s="65"/>
      <c r="K68" s="204" t="s">
        <v>204</v>
      </c>
      <c r="L68" s="101">
        <f>'DAILY STOCKS (F)'!O68</f>
        <v>0</v>
      </c>
      <c r="M68" s="136">
        <f t="shared" si="30"/>
        <v>0</v>
      </c>
      <c r="N68" s="136" t="str">
        <f t="shared" si="31"/>
        <v/>
      </c>
      <c r="O68" s="139">
        <f t="shared" si="32"/>
        <v>0</v>
      </c>
      <c r="P68" s="187"/>
      <c r="Q68" s="187"/>
      <c r="R68" s="187"/>
      <c r="S68" s="187"/>
      <c r="T68" s="187"/>
      <c r="U68" s="187"/>
      <c r="V68" s="188"/>
      <c r="X68" s="143"/>
      <c r="Y68" s="137"/>
      <c r="Z68" s="137"/>
      <c r="AA68" s="137"/>
      <c r="AB68" s="137"/>
      <c r="AC68" s="137"/>
      <c r="AD68" s="144"/>
    </row>
    <row r="69" ht="15.75" customHeight="1">
      <c r="A69" s="195"/>
      <c r="B69" s="206"/>
      <c r="C69" s="207"/>
      <c r="D69" s="206"/>
      <c r="E69" s="65"/>
      <c r="F69" s="65"/>
      <c r="G69" s="65"/>
      <c r="H69" s="65"/>
      <c r="I69" s="65"/>
      <c r="J69" s="65"/>
      <c r="K69" s="209" t="s">
        <v>206</v>
      </c>
      <c r="L69" s="122">
        <f>'DAILY STOCKS (F)'!O69</f>
        <v>0</v>
      </c>
      <c r="M69" s="154">
        <f t="shared" si="30"/>
        <v>0</v>
      </c>
      <c r="N69" s="154" t="str">
        <f t="shared" si="31"/>
        <v/>
      </c>
      <c r="O69" s="158">
        <f t="shared" si="32"/>
        <v>0</v>
      </c>
      <c r="P69" s="187"/>
      <c r="Q69" s="187"/>
      <c r="R69" s="187"/>
      <c r="S69" s="187"/>
      <c r="T69" s="187"/>
      <c r="U69" s="187"/>
      <c r="V69" s="188"/>
      <c r="X69" s="143"/>
      <c r="Y69" s="137"/>
      <c r="Z69" s="137"/>
      <c r="AA69" s="137"/>
      <c r="AB69" s="137"/>
      <c r="AC69" s="137"/>
      <c r="AD69" s="144"/>
    </row>
    <row r="70" ht="15.75" customHeight="1">
      <c r="A70" s="195"/>
      <c r="B70" s="206"/>
      <c r="C70" s="207"/>
      <c r="D70" s="206"/>
      <c r="E70" s="65"/>
      <c r="F70" s="65"/>
      <c r="G70" s="65"/>
      <c r="H70" s="65"/>
      <c r="I70" s="65"/>
      <c r="J70" s="65"/>
      <c r="K70" s="65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8"/>
      <c r="X70" s="143"/>
      <c r="Y70" s="137"/>
      <c r="Z70" s="137"/>
      <c r="AA70" s="137"/>
      <c r="AB70" s="137"/>
      <c r="AC70" s="137"/>
      <c r="AD70" s="144"/>
    </row>
    <row r="71" ht="15.75" customHeight="1">
      <c r="A71" s="195"/>
      <c r="B71" s="206"/>
      <c r="C71" s="207"/>
      <c r="D71" s="206"/>
      <c r="E71" s="65"/>
      <c r="F71" s="65"/>
      <c r="G71" s="65"/>
      <c r="H71" s="65"/>
      <c r="I71" s="65"/>
      <c r="J71" s="65"/>
      <c r="K71" s="65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8"/>
      <c r="X71" s="143"/>
      <c r="Y71" s="137"/>
      <c r="Z71" s="137"/>
      <c r="AA71" s="137"/>
      <c r="AB71" s="137"/>
      <c r="AC71" s="137"/>
      <c r="AD71" s="144"/>
    </row>
    <row r="72" ht="15.75" customHeight="1">
      <c r="A72" s="195"/>
      <c r="B72" s="206"/>
      <c r="C72" s="207"/>
      <c r="D72" s="206"/>
      <c r="E72" s="210"/>
      <c r="F72" s="210"/>
      <c r="G72" s="210"/>
      <c r="H72" s="210"/>
      <c r="I72" s="210"/>
      <c r="J72" s="210"/>
      <c r="K72" s="65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8"/>
      <c r="X72" s="143"/>
      <c r="Y72" s="137"/>
      <c r="Z72" s="137"/>
      <c r="AA72" s="137"/>
      <c r="AB72" s="137"/>
      <c r="AC72" s="137"/>
      <c r="AD72" s="144"/>
    </row>
    <row r="73" ht="15.75" customHeight="1">
      <c r="A73" s="195"/>
      <c r="B73" s="206"/>
      <c r="C73" s="207"/>
      <c r="D73" s="206"/>
      <c r="E73" s="207"/>
      <c r="F73" s="207"/>
      <c r="G73" s="207"/>
      <c r="H73" s="207"/>
      <c r="I73" s="207"/>
      <c r="J73" s="207"/>
      <c r="K73" s="65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8"/>
      <c r="X73" s="143"/>
      <c r="Y73" s="137"/>
      <c r="Z73" s="137"/>
      <c r="AA73" s="137"/>
      <c r="AB73" s="137"/>
      <c r="AC73" s="137"/>
      <c r="AD73" s="144"/>
    </row>
    <row r="74" ht="15.75" customHeight="1">
      <c r="A74" s="195"/>
      <c r="B74" s="206"/>
      <c r="C74" s="207"/>
      <c r="D74" s="206"/>
      <c r="E74" s="207"/>
      <c r="F74" s="207"/>
      <c r="G74" s="207"/>
      <c r="H74" s="207"/>
      <c r="I74" s="207"/>
      <c r="J74" s="207"/>
      <c r="K74" s="65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8"/>
      <c r="X74" s="143"/>
      <c r="Y74" s="137"/>
      <c r="Z74" s="137"/>
      <c r="AA74" s="137"/>
      <c r="AB74" s="137"/>
      <c r="AC74" s="137"/>
      <c r="AD74" s="144"/>
    </row>
    <row r="75" ht="15.75" customHeight="1">
      <c r="A75" s="195"/>
      <c r="B75" s="206"/>
      <c r="C75" s="207"/>
      <c r="D75" s="206"/>
      <c r="E75" s="207"/>
      <c r="F75" s="207"/>
      <c r="G75" s="207"/>
      <c r="H75" s="207"/>
      <c r="I75" s="207"/>
      <c r="J75" s="207"/>
      <c r="K75" s="65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8"/>
      <c r="X75" s="143"/>
      <c r="Y75" s="137"/>
      <c r="Z75" s="137"/>
      <c r="AA75" s="137"/>
      <c r="AB75" s="137"/>
      <c r="AC75" s="137"/>
      <c r="AD75" s="144"/>
    </row>
    <row r="76" ht="15.75" customHeight="1">
      <c r="A76" s="195"/>
      <c r="B76" s="206"/>
      <c r="C76" s="207"/>
      <c r="D76" s="206"/>
      <c r="E76" s="207"/>
      <c r="F76" s="207"/>
      <c r="G76" s="207"/>
      <c r="H76" s="207"/>
      <c r="I76" s="207"/>
      <c r="J76" s="207"/>
      <c r="K76" s="65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8"/>
      <c r="X76" s="143"/>
      <c r="Y76" s="137"/>
      <c r="Z76" s="137"/>
      <c r="AA76" s="137"/>
      <c r="AB76" s="137"/>
      <c r="AC76" s="137"/>
      <c r="AD76" s="144"/>
    </row>
    <row r="77" ht="15.75" customHeight="1">
      <c r="A77" s="195"/>
      <c r="B77" s="206"/>
      <c r="C77" s="207"/>
      <c r="D77" s="206"/>
      <c r="E77" s="207"/>
      <c r="F77" s="207"/>
      <c r="G77" s="207"/>
      <c r="H77" s="207"/>
      <c r="I77" s="207"/>
      <c r="J77" s="207"/>
      <c r="K77" s="65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8"/>
      <c r="X77" s="143"/>
      <c r="Y77" s="137"/>
      <c r="Z77" s="137"/>
      <c r="AA77" s="137"/>
      <c r="AB77" s="137"/>
      <c r="AC77" s="137"/>
      <c r="AD77" s="144"/>
    </row>
    <row r="78" ht="15.75" customHeight="1">
      <c r="A78" s="195"/>
      <c r="B78" s="206"/>
      <c r="C78" s="207"/>
      <c r="D78" s="206"/>
      <c r="E78" s="207"/>
      <c r="F78" s="207"/>
      <c r="G78" s="207"/>
      <c r="H78" s="207"/>
      <c r="I78" s="207"/>
      <c r="J78" s="207"/>
      <c r="K78" s="65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8"/>
      <c r="X78" s="143"/>
      <c r="Y78" s="137"/>
      <c r="Z78" s="137"/>
      <c r="AA78" s="137"/>
      <c r="AB78" s="137"/>
      <c r="AC78" s="137"/>
      <c r="AD78" s="144"/>
    </row>
    <row r="79" ht="15.75" customHeight="1">
      <c r="A79" s="195"/>
      <c r="B79" s="206"/>
      <c r="C79" s="207"/>
      <c r="D79" s="206"/>
      <c r="E79" s="207"/>
      <c r="F79" s="207"/>
      <c r="G79" s="207"/>
      <c r="H79" s="207"/>
      <c r="I79" s="207"/>
      <c r="J79" s="207"/>
      <c r="K79" s="65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8"/>
      <c r="X79" s="143"/>
      <c r="Y79" s="137"/>
      <c r="Z79" s="137"/>
      <c r="AA79" s="137"/>
      <c r="AB79" s="137"/>
      <c r="AC79" s="137"/>
      <c r="AD79" s="144"/>
    </row>
    <row r="80" ht="15.75" customHeight="1">
      <c r="A80" s="195"/>
      <c r="B80" s="206"/>
      <c r="C80" s="207"/>
      <c r="D80" s="206"/>
      <c r="E80" s="207"/>
      <c r="F80" s="207"/>
      <c r="G80" s="207"/>
      <c r="H80" s="207"/>
      <c r="I80" s="207"/>
      <c r="J80" s="207"/>
      <c r="K80" s="65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8"/>
      <c r="X80" s="143"/>
      <c r="Y80" s="137"/>
      <c r="Z80" s="137"/>
      <c r="AA80" s="137"/>
      <c r="AB80" s="137"/>
      <c r="AC80" s="137"/>
      <c r="AD80" s="144"/>
    </row>
    <row r="81" ht="15.75" customHeight="1">
      <c r="A81" s="195"/>
      <c r="B81" s="59"/>
      <c r="C81" s="207"/>
      <c r="D81" s="206"/>
      <c r="E81" s="207"/>
      <c r="F81" s="207"/>
      <c r="G81" s="207"/>
      <c r="H81" s="207"/>
      <c r="I81" s="207"/>
      <c r="J81" s="207"/>
      <c r="K81" s="65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8"/>
      <c r="X81" s="143"/>
      <c r="Y81" s="137"/>
      <c r="Z81" s="137"/>
      <c r="AA81" s="137"/>
      <c r="AB81" s="137"/>
      <c r="AC81" s="137"/>
      <c r="AD81" s="144"/>
    </row>
    <row r="82" ht="15.75" customHeight="1">
      <c r="A82" s="195"/>
      <c r="B82" s="59"/>
      <c r="C82" s="207"/>
      <c r="D82" s="206"/>
      <c r="E82" s="207"/>
      <c r="F82" s="207"/>
      <c r="G82" s="207"/>
      <c r="H82" s="207"/>
      <c r="I82" s="207"/>
      <c r="J82" s="207"/>
      <c r="K82" s="65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8"/>
      <c r="X82" s="143"/>
      <c r="Y82" s="137"/>
      <c r="Z82" s="137"/>
      <c r="AA82" s="137"/>
      <c r="AB82" s="137"/>
      <c r="AC82" s="137"/>
      <c r="AD82" s="144"/>
    </row>
    <row r="83" ht="15.75" customHeight="1">
      <c r="A83" s="195"/>
      <c r="B83" s="59"/>
      <c r="C83" s="207"/>
      <c r="D83" s="206"/>
      <c r="E83" s="207"/>
      <c r="F83" s="207"/>
      <c r="G83" s="207"/>
      <c r="H83" s="207"/>
      <c r="I83" s="207"/>
      <c r="J83" s="207"/>
      <c r="K83" s="65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8"/>
      <c r="X83" s="143"/>
      <c r="Y83" s="137"/>
      <c r="Z83" s="137"/>
      <c r="AA83" s="137"/>
      <c r="AB83" s="137"/>
      <c r="AC83" s="137"/>
      <c r="AD83" s="144"/>
    </row>
    <row r="84" ht="15.75" customHeight="1">
      <c r="A84" s="195"/>
      <c r="B84" s="59"/>
      <c r="C84" s="207"/>
      <c r="D84" s="206"/>
      <c r="E84" s="207"/>
      <c r="F84" s="207"/>
      <c r="G84" s="207"/>
      <c r="H84" s="207"/>
      <c r="I84" s="207"/>
      <c r="J84" s="207"/>
      <c r="K84" s="65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8"/>
      <c r="X84" s="143"/>
      <c r="Y84" s="137"/>
      <c r="Z84" s="137"/>
      <c r="AA84" s="137"/>
      <c r="AB84" s="137"/>
      <c r="AC84" s="137"/>
      <c r="AD84" s="144"/>
    </row>
    <row r="85" ht="15.75" customHeight="1">
      <c r="A85" s="195"/>
      <c r="B85" s="59"/>
      <c r="C85" s="207"/>
      <c r="D85" s="59"/>
      <c r="E85" s="207"/>
      <c r="F85" s="207"/>
      <c r="G85" s="207"/>
      <c r="H85" s="207"/>
      <c r="I85" s="207"/>
      <c r="J85" s="207"/>
      <c r="K85" s="65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8"/>
      <c r="X85" s="143"/>
      <c r="Y85" s="137"/>
      <c r="Z85" s="137"/>
      <c r="AA85" s="137"/>
      <c r="AB85" s="137"/>
      <c r="AC85" s="137"/>
      <c r="AD85" s="144"/>
    </row>
    <row r="86" ht="15.75" customHeight="1">
      <c r="A86" s="195"/>
      <c r="B86" s="59"/>
      <c r="C86" s="207"/>
      <c r="D86" s="59"/>
      <c r="E86" s="207"/>
      <c r="F86" s="207"/>
      <c r="G86" s="207"/>
      <c r="H86" s="207"/>
      <c r="I86" s="207"/>
      <c r="J86" s="207"/>
      <c r="K86" s="65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8"/>
      <c r="X86" s="143"/>
      <c r="Y86" s="137"/>
      <c r="Z86" s="137"/>
      <c r="AA86" s="137"/>
      <c r="AB86" s="137"/>
      <c r="AC86" s="137"/>
      <c r="AD86" s="144"/>
    </row>
    <row r="87" ht="15.75" customHeight="1">
      <c r="A87" s="195"/>
      <c r="B87" s="59"/>
      <c r="C87" s="207"/>
      <c r="D87" s="59"/>
      <c r="E87" s="207"/>
      <c r="F87" s="207"/>
      <c r="G87" s="207"/>
      <c r="H87" s="207"/>
      <c r="I87" s="207"/>
      <c r="J87" s="207"/>
      <c r="K87" s="65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8"/>
      <c r="X87" s="143"/>
      <c r="Y87" s="137"/>
      <c r="Z87" s="137"/>
      <c r="AA87" s="137"/>
      <c r="AB87" s="137"/>
      <c r="AC87" s="137"/>
      <c r="AD87" s="144"/>
    </row>
    <row r="88" ht="15.75" customHeight="1">
      <c r="A88" s="195"/>
      <c r="B88" s="59"/>
      <c r="C88" s="207"/>
      <c r="D88" s="59"/>
      <c r="E88" s="207"/>
      <c r="F88" s="207"/>
      <c r="G88" s="207"/>
      <c r="H88" s="207"/>
      <c r="I88" s="207"/>
      <c r="J88" s="207"/>
      <c r="K88" s="65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8"/>
      <c r="X88" s="143"/>
      <c r="Y88" s="137"/>
      <c r="Z88" s="137"/>
      <c r="AA88" s="137"/>
      <c r="AB88" s="137"/>
      <c r="AC88" s="137"/>
      <c r="AD88" s="144"/>
    </row>
    <row r="89" ht="15.75" customHeight="1">
      <c r="A89" s="195"/>
      <c r="B89" s="59"/>
      <c r="C89" s="207"/>
      <c r="D89" s="59"/>
      <c r="E89" s="207"/>
      <c r="F89" s="207"/>
      <c r="G89" s="207"/>
      <c r="H89" s="207"/>
      <c r="I89" s="207"/>
      <c r="J89" s="207"/>
      <c r="K89" s="65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8"/>
      <c r="X89" s="143"/>
      <c r="Y89" s="137"/>
      <c r="Z89" s="137"/>
      <c r="AA89" s="137"/>
      <c r="AB89" s="137"/>
      <c r="AC89" s="137"/>
      <c r="AD89" s="144"/>
    </row>
    <row r="90" ht="15.75" customHeight="1">
      <c r="A90" s="195"/>
      <c r="B90" s="59"/>
      <c r="C90" s="207"/>
      <c r="D90" s="59"/>
      <c r="E90" s="207"/>
      <c r="F90" s="207"/>
      <c r="G90" s="207"/>
      <c r="H90" s="207"/>
      <c r="I90" s="207"/>
      <c r="J90" s="207"/>
      <c r="K90" s="65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8"/>
      <c r="X90" s="143"/>
      <c r="Y90" s="137"/>
      <c r="Z90" s="137"/>
      <c r="AA90" s="137"/>
      <c r="AB90" s="137"/>
      <c r="AC90" s="137"/>
      <c r="AD90" s="144"/>
    </row>
    <row r="91" ht="15.75" customHeight="1">
      <c r="A91" s="195"/>
      <c r="B91" s="59"/>
      <c r="C91" s="207"/>
      <c r="D91" s="59"/>
      <c r="E91" s="207"/>
      <c r="F91" s="207"/>
      <c r="G91" s="207"/>
      <c r="H91" s="207"/>
      <c r="I91" s="207"/>
      <c r="J91" s="207"/>
      <c r="K91" s="65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8"/>
      <c r="X91" s="143"/>
      <c r="Y91" s="137"/>
      <c r="Z91" s="137"/>
      <c r="AA91" s="137"/>
      <c r="AB91" s="137"/>
      <c r="AC91" s="137"/>
      <c r="AD91" s="144"/>
    </row>
    <row r="92" ht="15.75" customHeight="1">
      <c r="A92" s="195"/>
      <c r="B92" s="59"/>
      <c r="C92" s="207"/>
      <c r="D92" s="59"/>
      <c r="E92" s="207"/>
      <c r="F92" s="207"/>
      <c r="G92" s="207"/>
      <c r="H92" s="207"/>
      <c r="I92" s="207"/>
      <c r="J92" s="207"/>
      <c r="K92" s="65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8"/>
      <c r="X92" s="143"/>
      <c r="Y92" s="137"/>
      <c r="Z92" s="137"/>
      <c r="AA92" s="137"/>
      <c r="AB92" s="137"/>
      <c r="AC92" s="137"/>
      <c r="AD92" s="144"/>
    </row>
    <row r="93" ht="15.75" customHeight="1">
      <c r="A93" s="195"/>
      <c r="B93" s="59"/>
      <c r="C93" s="207"/>
      <c r="D93" s="59"/>
      <c r="E93" s="65"/>
      <c r="F93" s="65"/>
      <c r="G93" s="65"/>
      <c r="H93" s="65"/>
      <c r="I93" s="65"/>
      <c r="J93" s="65"/>
      <c r="K93" s="65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8"/>
      <c r="X93" s="143"/>
      <c r="Y93" s="137"/>
      <c r="Z93" s="137"/>
      <c r="AA93" s="137"/>
      <c r="AB93" s="137"/>
      <c r="AC93" s="137"/>
      <c r="AD93" s="144"/>
    </row>
    <row r="94" ht="15.75" customHeight="1">
      <c r="A94" s="195"/>
      <c r="B94" s="59"/>
      <c r="C94" s="207"/>
      <c r="D94" s="59"/>
      <c r="E94" s="65"/>
      <c r="F94" s="65"/>
      <c r="G94" s="65"/>
      <c r="H94" s="65"/>
      <c r="I94" s="65"/>
      <c r="J94" s="65"/>
      <c r="K94" s="65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8"/>
      <c r="X94" s="143"/>
      <c r="Y94" s="137"/>
      <c r="Z94" s="137"/>
      <c r="AA94" s="137"/>
      <c r="AB94" s="137"/>
      <c r="AC94" s="137"/>
      <c r="AD94" s="144"/>
    </row>
    <row r="95" ht="15.75" customHeight="1">
      <c r="A95" s="195"/>
      <c r="B95" s="59"/>
      <c r="C95" s="65"/>
      <c r="D95" s="59"/>
      <c r="E95" s="65"/>
      <c r="F95" s="65"/>
      <c r="G95" s="65"/>
      <c r="H95" s="65"/>
      <c r="I95" s="65"/>
      <c r="J95" s="65"/>
      <c r="K95" s="65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8"/>
      <c r="X95" s="143"/>
      <c r="Y95" s="137"/>
      <c r="Z95" s="137"/>
      <c r="AA95" s="137"/>
      <c r="AB95" s="137"/>
      <c r="AC95" s="137"/>
      <c r="AD95" s="144"/>
    </row>
    <row r="96" ht="15.75" customHeight="1">
      <c r="A96" s="195"/>
      <c r="B96" s="59"/>
      <c r="C96" s="59"/>
      <c r="D96" s="59"/>
      <c r="E96" s="65"/>
      <c r="F96" s="65"/>
      <c r="G96" s="65"/>
      <c r="H96" s="65"/>
      <c r="I96" s="65"/>
      <c r="J96" s="65"/>
      <c r="K96" s="65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8"/>
      <c r="X96" s="143"/>
      <c r="Y96" s="137"/>
      <c r="Z96" s="137"/>
      <c r="AA96" s="137"/>
      <c r="AB96" s="137"/>
      <c r="AC96" s="137"/>
      <c r="AD96" s="144"/>
    </row>
    <row r="97" ht="15.75" customHeight="1">
      <c r="B97" s="211"/>
      <c r="D97" s="211"/>
      <c r="E97" s="65"/>
      <c r="F97" s="65"/>
      <c r="G97" s="65"/>
      <c r="H97" s="65"/>
      <c r="I97" s="65"/>
      <c r="J97" s="65"/>
      <c r="K97" s="65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8"/>
      <c r="X97" s="143"/>
      <c r="Y97" s="137"/>
      <c r="Z97" s="137"/>
      <c r="AA97" s="137"/>
      <c r="AB97" s="137"/>
      <c r="AC97" s="137"/>
      <c r="AD97" s="144"/>
    </row>
    <row r="98" ht="15.75" customHeight="1">
      <c r="B98" s="211"/>
      <c r="D98" s="211"/>
      <c r="E98" s="65"/>
      <c r="F98" s="65"/>
      <c r="G98" s="65"/>
      <c r="H98" s="65"/>
      <c r="I98" s="65"/>
      <c r="J98" s="65"/>
      <c r="K98" s="65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8"/>
      <c r="X98" s="143"/>
      <c r="Y98" s="137"/>
      <c r="Z98" s="137"/>
      <c r="AA98" s="137"/>
      <c r="AB98" s="137"/>
      <c r="AC98" s="137"/>
      <c r="AD98" s="144"/>
    </row>
    <row r="99" ht="15.75" customHeight="1">
      <c r="B99" s="211"/>
      <c r="D99" s="211"/>
      <c r="E99" s="65"/>
      <c r="F99" s="65"/>
      <c r="G99" s="65"/>
      <c r="H99" s="65"/>
      <c r="I99" s="65"/>
      <c r="J99" s="65"/>
      <c r="K99" s="65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8"/>
      <c r="X99" s="143"/>
      <c r="Y99" s="137"/>
      <c r="Z99" s="137"/>
      <c r="AA99" s="137"/>
      <c r="AB99" s="137"/>
      <c r="AC99" s="137"/>
      <c r="AD99" s="144"/>
    </row>
    <row r="100" ht="15.75" customHeight="1">
      <c r="B100" s="211"/>
      <c r="D100" s="211"/>
      <c r="E100" s="65"/>
      <c r="F100" s="65"/>
      <c r="G100" s="65"/>
      <c r="H100" s="65"/>
      <c r="I100" s="65"/>
      <c r="J100" s="65"/>
      <c r="K100" s="65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8"/>
      <c r="X100" s="143"/>
      <c r="Y100" s="137"/>
      <c r="Z100" s="137"/>
      <c r="AA100" s="137"/>
      <c r="AB100" s="137"/>
      <c r="AC100" s="137"/>
      <c r="AD100" s="144"/>
    </row>
    <row r="101" ht="15.75" customHeight="1">
      <c r="B101" s="211"/>
      <c r="D101" s="211"/>
      <c r="E101" s="65"/>
      <c r="F101" s="65"/>
      <c r="G101" s="65"/>
      <c r="H101" s="65"/>
      <c r="I101" s="65"/>
      <c r="J101" s="65"/>
      <c r="K101" s="65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8"/>
      <c r="X101" s="143"/>
      <c r="Y101" s="137"/>
      <c r="Z101" s="137"/>
      <c r="AA101" s="137"/>
      <c r="AB101" s="137"/>
      <c r="AC101" s="137"/>
      <c r="AD101" s="144"/>
    </row>
    <row r="102" ht="15.75" customHeight="1">
      <c r="B102" s="211"/>
      <c r="D102" s="211"/>
      <c r="E102" s="65"/>
      <c r="F102" s="65"/>
      <c r="G102" s="65"/>
      <c r="H102" s="65"/>
      <c r="I102" s="65"/>
      <c r="J102" s="65"/>
      <c r="K102" s="65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8"/>
      <c r="X102" s="143"/>
      <c r="Y102" s="137"/>
      <c r="Z102" s="137"/>
      <c r="AA102" s="137"/>
      <c r="AB102" s="137"/>
      <c r="AC102" s="137"/>
      <c r="AD102" s="144"/>
    </row>
    <row r="103" ht="15.75" customHeight="1">
      <c r="B103" s="211"/>
      <c r="D103" s="211"/>
      <c r="E103" s="65"/>
      <c r="F103" s="65"/>
      <c r="G103" s="65"/>
      <c r="H103" s="65"/>
      <c r="I103" s="65"/>
      <c r="J103" s="65"/>
      <c r="K103" s="65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8"/>
      <c r="X103" s="143"/>
      <c r="Y103" s="137"/>
      <c r="Z103" s="137"/>
      <c r="AA103" s="137"/>
      <c r="AB103" s="137"/>
      <c r="AC103" s="137"/>
      <c r="AD103" s="144"/>
    </row>
    <row r="104" ht="15.75" customHeight="1">
      <c r="B104" s="211"/>
      <c r="D104" s="211"/>
      <c r="E104" s="65"/>
      <c r="F104" s="65"/>
      <c r="G104" s="65"/>
      <c r="H104" s="65"/>
      <c r="I104" s="65"/>
      <c r="J104" s="65"/>
      <c r="K104" s="65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8"/>
      <c r="X104" s="225"/>
      <c r="Y104" s="156"/>
      <c r="Z104" s="156"/>
      <c r="AA104" s="156"/>
      <c r="AB104" s="156"/>
      <c r="AC104" s="156"/>
      <c r="AD104" s="226"/>
    </row>
    <row r="105" ht="15.75" customHeight="1">
      <c r="B105" s="211"/>
      <c r="D105" s="211"/>
      <c r="E105" s="65"/>
      <c r="F105" s="65"/>
      <c r="G105" s="65"/>
      <c r="H105" s="65"/>
      <c r="I105" s="65"/>
      <c r="J105" s="65"/>
      <c r="K105" s="65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8"/>
      <c r="X105" s="227" t="s">
        <v>236</v>
      </c>
      <c r="Y105" s="228"/>
      <c r="Z105" s="229"/>
      <c r="AA105" s="230">
        <f t="shared" ref="AA105:AD105" si="33">SUM(AA3:AA104)</f>
        <v>92546</v>
      </c>
      <c r="AB105" s="230">
        <f t="shared" si="33"/>
        <v>6660</v>
      </c>
      <c r="AC105" s="230">
        <f t="shared" si="33"/>
        <v>39009</v>
      </c>
      <c r="AD105" s="230">
        <f t="shared" si="33"/>
        <v>0</v>
      </c>
    </row>
    <row r="106" ht="15.75" customHeight="1">
      <c r="A106" s="65"/>
      <c r="B106" s="59"/>
      <c r="C106" s="217"/>
      <c r="D106" s="59"/>
      <c r="E106" s="65"/>
      <c r="F106" s="65"/>
      <c r="G106" s="65"/>
      <c r="H106" s="65"/>
      <c r="I106" s="65"/>
      <c r="J106" s="65"/>
      <c r="K106" s="65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8"/>
    </row>
    <row r="107" ht="15.75" customHeight="1">
      <c r="A107" s="65"/>
      <c r="B107" s="59"/>
      <c r="C107" s="217"/>
      <c r="D107" s="59"/>
      <c r="E107" s="65"/>
      <c r="F107" s="65"/>
      <c r="G107" s="65"/>
      <c r="H107" s="65"/>
      <c r="I107" s="65"/>
      <c r="J107" s="65"/>
      <c r="K107" s="65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8"/>
    </row>
    <row r="108" ht="15.75" customHeight="1">
      <c r="A108" s="65"/>
      <c r="B108" s="59"/>
      <c r="C108" s="217"/>
      <c r="D108" s="59"/>
      <c r="E108" s="65"/>
      <c r="F108" s="65"/>
      <c r="G108" s="65"/>
      <c r="H108" s="65"/>
      <c r="I108" s="65"/>
      <c r="J108" s="65"/>
      <c r="K108" s="65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8"/>
    </row>
    <row r="109" ht="15.75" customHeight="1">
      <c r="A109" s="65"/>
      <c r="B109" s="59"/>
      <c r="C109" s="218"/>
      <c r="D109" s="59"/>
      <c r="E109" s="65"/>
      <c r="F109" s="65"/>
      <c r="G109" s="65"/>
      <c r="H109" s="65"/>
      <c r="I109" s="65"/>
      <c r="J109" s="65"/>
      <c r="K109" s="65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8"/>
    </row>
    <row r="110" ht="15.75" customHeight="1">
      <c r="A110" s="65"/>
      <c r="B110" s="59"/>
      <c r="C110" s="219"/>
      <c r="D110" s="59"/>
      <c r="E110" s="65"/>
      <c r="F110" s="65"/>
      <c r="G110" s="65"/>
      <c r="H110" s="65"/>
      <c r="I110" s="65"/>
      <c r="J110" s="65"/>
      <c r="K110" s="65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8"/>
    </row>
    <row r="111" ht="15.75" customHeight="1">
      <c r="A111" s="65"/>
      <c r="B111" s="59"/>
      <c r="C111" s="218"/>
      <c r="D111" s="59"/>
      <c r="E111" s="65"/>
      <c r="F111" s="65"/>
      <c r="G111" s="65"/>
      <c r="H111" s="65"/>
      <c r="I111" s="65"/>
      <c r="J111" s="65"/>
      <c r="K111" s="65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8"/>
    </row>
    <row r="112" ht="15.75" customHeight="1">
      <c r="A112" s="65"/>
      <c r="B112" s="59"/>
      <c r="C112" s="220"/>
      <c r="D112" s="59"/>
      <c r="E112" s="65"/>
      <c r="F112" s="65"/>
      <c r="G112" s="65"/>
      <c r="H112" s="65"/>
      <c r="I112" s="65"/>
      <c r="J112" s="65"/>
      <c r="K112" s="65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8"/>
    </row>
    <row r="113" ht="15.75" customHeight="1">
      <c r="A113" s="65"/>
      <c r="B113" s="59"/>
      <c r="C113" s="65"/>
      <c r="D113" s="59"/>
      <c r="E113" s="65"/>
      <c r="F113" s="65"/>
      <c r="G113" s="65"/>
      <c r="H113" s="65"/>
      <c r="I113" s="65"/>
      <c r="J113" s="65"/>
      <c r="K113" s="65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8"/>
    </row>
    <row r="114" ht="15.75" customHeight="1">
      <c r="A114" s="65"/>
      <c r="B114" s="59"/>
      <c r="C114" s="207"/>
      <c r="D114" s="59"/>
      <c r="E114" s="65"/>
      <c r="F114" s="65"/>
      <c r="G114" s="65"/>
      <c r="H114" s="65"/>
      <c r="I114" s="65"/>
      <c r="J114" s="65"/>
      <c r="K114" s="65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8"/>
    </row>
    <row r="115" ht="15.75" customHeight="1">
      <c r="A115" s="65"/>
      <c r="B115" s="59"/>
      <c r="C115" s="207"/>
      <c r="D115" s="59"/>
      <c r="E115" s="65"/>
      <c r="F115" s="65"/>
      <c r="G115" s="65"/>
      <c r="H115" s="65"/>
      <c r="I115" s="65"/>
      <c r="J115" s="65"/>
      <c r="K115" s="65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8"/>
    </row>
    <row r="116" ht="15.75" customHeight="1">
      <c r="A116" s="65"/>
      <c r="B116" s="59"/>
      <c r="C116" s="207"/>
      <c r="D116" s="59"/>
      <c r="E116" s="65"/>
      <c r="F116" s="65"/>
      <c r="G116" s="65"/>
      <c r="H116" s="65"/>
      <c r="I116" s="65"/>
      <c r="J116" s="65"/>
      <c r="K116" s="65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8"/>
    </row>
    <row r="117" ht="15.75" customHeight="1">
      <c r="A117" s="65"/>
      <c r="B117" s="59"/>
      <c r="C117" s="207"/>
      <c r="D117" s="59"/>
      <c r="E117" s="65"/>
      <c r="F117" s="65"/>
      <c r="G117" s="65"/>
      <c r="H117" s="65"/>
      <c r="I117" s="65"/>
      <c r="J117" s="65"/>
      <c r="K117" s="65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8"/>
    </row>
    <row r="118" ht="15.75" customHeight="1">
      <c r="A118" s="65"/>
      <c r="B118" s="59"/>
      <c r="C118" s="207"/>
      <c r="D118" s="59"/>
      <c r="E118" s="65"/>
      <c r="F118" s="65"/>
      <c r="G118" s="65"/>
      <c r="H118" s="65"/>
      <c r="I118" s="65"/>
      <c r="J118" s="65"/>
      <c r="K118" s="65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8"/>
    </row>
    <row r="119" ht="15.75" customHeight="1">
      <c r="A119" s="65"/>
      <c r="B119" s="59"/>
      <c r="C119" s="207"/>
      <c r="D119" s="59"/>
      <c r="E119" s="65"/>
      <c r="F119" s="65"/>
      <c r="G119" s="65"/>
      <c r="H119" s="65"/>
      <c r="I119" s="65"/>
      <c r="J119" s="65"/>
      <c r="K119" s="65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8"/>
    </row>
    <row r="120" ht="15.75" customHeight="1">
      <c r="A120" s="65"/>
      <c r="B120" s="59"/>
      <c r="C120" s="207"/>
      <c r="D120" s="59"/>
      <c r="E120" s="65"/>
      <c r="F120" s="65"/>
      <c r="G120" s="65"/>
      <c r="H120" s="65"/>
      <c r="I120" s="65"/>
      <c r="J120" s="65"/>
      <c r="K120" s="65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8"/>
    </row>
    <row r="121" ht="15.75" customHeight="1">
      <c r="A121" s="65"/>
      <c r="B121" s="59"/>
      <c r="C121" s="207"/>
      <c r="D121" s="59"/>
      <c r="E121" s="65"/>
      <c r="F121" s="65"/>
      <c r="G121" s="65"/>
      <c r="H121" s="65"/>
      <c r="I121" s="65"/>
      <c r="J121" s="65"/>
      <c r="K121" s="65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8"/>
    </row>
    <row r="122" ht="15.75" customHeight="1">
      <c r="A122" s="65"/>
      <c r="B122" s="59"/>
      <c r="C122" s="207"/>
      <c r="D122" s="59"/>
      <c r="E122" s="65"/>
      <c r="F122" s="65"/>
      <c r="G122" s="65"/>
      <c r="H122" s="65"/>
      <c r="I122" s="65"/>
      <c r="J122" s="65"/>
      <c r="K122" s="65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8"/>
    </row>
    <row r="123" ht="15.75" customHeight="1">
      <c r="A123" s="65"/>
      <c r="B123" s="59"/>
      <c r="C123" s="207"/>
      <c r="D123" s="59"/>
      <c r="E123" s="65"/>
      <c r="F123" s="65"/>
      <c r="G123" s="65"/>
      <c r="H123" s="65"/>
      <c r="I123" s="65"/>
      <c r="J123" s="65"/>
      <c r="K123" s="65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8"/>
    </row>
    <row r="124" ht="15.75" customHeight="1">
      <c r="A124" s="65"/>
      <c r="B124" s="59"/>
      <c r="C124" s="207"/>
      <c r="D124" s="59"/>
      <c r="E124" s="65"/>
      <c r="F124" s="65"/>
      <c r="G124" s="65"/>
      <c r="H124" s="65"/>
      <c r="I124" s="65"/>
      <c r="J124" s="65"/>
      <c r="K124" s="65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8"/>
    </row>
    <row r="125" ht="15.75" customHeight="1">
      <c r="A125" s="65"/>
      <c r="B125" s="59"/>
      <c r="C125" s="207"/>
      <c r="D125" s="59"/>
      <c r="E125" s="65"/>
      <c r="F125" s="65"/>
      <c r="G125" s="65"/>
      <c r="H125" s="65"/>
      <c r="I125" s="65"/>
      <c r="J125" s="65"/>
      <c r="K125" s="65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8"/>
    </row>
    <row r="126" ht="15.75" customHeight="1">
      <c r="A126" s="65"/>
      <c r="B126" s="59"/>
      <c r="C126" s="207"/>
      <c r="D126" s="59"/>
      <c r="E126" s="65"/>
      <c r="F126" s="65"/>
      <c r="G126" s="65"/>
      <c r="H126" s="65"/>
      <c r="I126" s="65"/>
      <c r="J126" s="65"/>
      <c r="K126" s="65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8"/>
    </row>
    <row r="127" ht="15.75" customHeight="1">
      <c r="A127" s="65"/>
      <c r="B127" s="59"/>
      <c r="C127" s="207"/>
      <c r="D127" s="59"/>
      <c r="E127" s="65"/>
      <c r="F127" s="65"/>
      <c r="G127" s="65"/>
      <c r="H127" s="65"/>
      <c r="I127" s="65"/>
      <c r="J127" s="65"/>
      <c r="K127" s="65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8"/>
    </row>
    <row r="128" ht="15.75" customHeight="1">
      <c r="A128" s="65"/>
      <c r="B128" s="59"/>
      <c r="C128" s="207"/>
      <c r="D128" s="59"/>
      <c r="E128" s="65"/>
      <c r="F128" s="65"/>
      <c r="G128" s="65"/>
      <c r="H128" s="65"/>
      <c r="I128" s="65"/>
      <c r="J128" s="65"/>
      <c r="K128" s="65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8"/>
    </row>
    <row r="129" ht="15.75" customHeight="1">
      <c r="A129" s="65"/>
      <c r="B129" s="59"/>
      <c r="C129" s="207"/>
      <c r="D129" s="59"/>
      <c r="E129" s="65"/>
      <c r="F129" s="65"/>
      <c r="G129" s="65"/>
      <c r="H129" s="65"/>
      <c r="I129" s="65"/>
      <c r="J129" s="65"/>
      <c r="K129" s="65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8"/>
    </row>
    <row r="130" ht="15.75" customHeight="1">
      <c r="A130" s="65"/>
      <c r="B130" s="59"/>
      <c r="C130" s="207"/>
      <c r="D130" s="59"/>
      <c r="E130" s="65"/>
      <c r="F130" s="65"/>
      <c r="G130" s="65"/>
      <c r="H130" s="65"/>
      <c r="I130" s="65"/>
      <c r="J130" s="65"/>
      <c r="K130" s="65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8"/>
    </row>
    <row r="131" ht="15.75" customHeight="1">
      <c r="A131" s="65"/>
      <c r="B131" s="59"/>
      <c r="C131" s="207"/>
      <c r="D131" s="59"/>
      <c r="E131" s="65"/>
      <c r="F131" s="65"/>
      <c r="G131" s="65"/>
      <c r="H131" s="65"/>
      <c r="I131" s="65"/>
      <c r="J131" s="65"/>
      <c r="K131" s="65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8"/>
    </row>
    <row r="132" ht="15.75" customHeight="1">
      <c r="A132" s="65"/>
      <c r="B132" s="59"/>
      <c r="C132" s="207"/>
      <c r="D132" s="59"/>
      <c r="E132" s="65"/>
      <c r="F132" s="65"/>
      <c r="G132" s="65"/>
      <c r="H132" s="65"/>
      <c r="I132" s="65"/>
      <c r="J132" s="65"/>
      <c r="K132" s="65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8"/>
    </row>
    <row r="133" ht="15.75" customHeight="1">
      <c r="A133" s="65"/>
      <c r="B133" s="59"/>
      <c r="C133" s="207"/>
      <c r="D133" s="59"/>
      <c r="E133" s="65"/>
      <c r="F133" s="65"/>
      <c r="G133" s="65"/>
      <c r="H133" s="65"/>
      <c r="I133" s="65"/>
      <c r="J133" s="65"/>
      <c r="K133" s="65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8"/>
    </row>
    <row r="134" ht="15.75" customHeight="1">
      <c r="A134" s="65"/>
      <c r="B134" s="59"/>
      <c r="C134" s="207"/>
      <c r="D134" s="59"/>
      <c r="E134" s="65"/>
      <c r="F134" s="65"/>
      <c r="G134" s="65"/>
      <c r="H134" s="65"/>
      <c r="I134" s="65"/>
      <c r="J134" s="65"/>
      <c r="K134" s="65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8"/>
    </row>
    <row r="135" ht="15.75" customHeight="1">
      <c r="A135" s="65"/>
      <c r="B135" s="59"/>
      <c r="C135" s="207"/>
      <c r="D135" s="59"/>
      <c r="E135" s="65"/>
      <c r="F135" s="65"/>
      <c r="G135" s="65"/>
      <c r="H135" s="65"/>
      <c r="I135" s="65"/>
      <c r="J135" s="65"/>
      <c r="K135" s="65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8"/>
    </row>
    <row r="136" ht="15.75" customHeight="1">
      <c r="A136" s="65"/>
      <c r="B136" s="59"/>
      <c r="C136" s="207"/>
      <c r="D136" s="59"/>
      <c r="E136" s="65"/>
      <c r="F136" s="65"/>
      <c r="G136" s="65"/>
      <c r="H136" s="65"/>
      <c r="I136" s="65"/>
      <c r="J136" s="65"/>
      <c r="K136" s="65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8"/>
    </row>
    <row r="137" ht="15.75" customHeight="1">
      <c r="A137" s="65"/>
      <c r="B137" s="59"/>
      <c r="C137" s="207"/>
      <c r="D137" s="59"/>
      <c r="E137" s="65"/>
      <c r="F137" s="65"/>
      <c r="G137" s="65"/>
      <c r="H137" s="65"/>
      <c r="I137" s="65"/>
      <c r="J137" s="65"/>
      <c r="K137" s="65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8"/>
    </row>
    <row r="138" ht="15.75" customHeight="1">
      <c r="A138" s="65"/>
      <c r="B138" s="59"/>
      <c r="C138" s="207"/>
      <c r="D138" s="59"/>
      <c r="E138" s="65"/>
      <c r="F138" s="65"/>
      <c r="G138" s="65"/>
      <c r="H138" s="65"/>
      <c r="I138" s="65"/>
      <c r="J138" s="65"/>
      <c r="K138" s="65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8"/>
    </row>
    <row r="139" ht="15.75" customHeight="1">
      <c r="A139" s="65"/>
      <c r="B139" s="59"/>
      <c r="C139" s="207"/>
      <c r="D139" s="59"/>
      <c r="E139" s="65"/>
      <c r="F139" s="65"/>
      <c r="G139" s="65"/>
      <c r="H139" s="65"/>
      <c r="I139" s="65"/>
      <c r="J139" s="65"/>
      <c r="K139" s="65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8"/>
    </row>
    <row r="140" ht="15.75" customHeight="1">
      <c r="A140" s="65"/>
      <c r="B140" s="59"/>
      <c r="C140" s="207"/>
      <c r="D140" s="59"/>
      <c r="E140" s="65"/>
      <c r="F140" s="65"/>
      <c r="G140" s="65"/>
      <c r="H140" s="65"/>
      <c r="I140" s="65"/>
      <c r="J140" s="65"/>
      <c r="K140" s="65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8"/>
    </row>
    <row r="141" ht="15.75" customHeight="1">
      <c r="A141" s="65"/>
      <c r="B141" s="59"/>
      <c r="C141" s="207"/>
      <c r="D141" s="59"/>
      <c r="E141" s="65"/>
      <c r="F141" s="65"/>
      <c r="G141" s="65"/>
      <c r="H141" s="65"/>
      <c r="I141" s="65"/>
      <c r="J141" s="65"/>
      <c r="K141" s="65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8"/>
    </row>
    <row r="142" ht="15.75" customHeight="1">
      <c r="A142" s="65"/>
      <c r="B142" s="59"/>
      <c r="C142" s="207"/>
      <c r="D142" s="59"/>
      <c r="E142" s="65"/>
      <c r="F142" s="65"/>
      <c r="G142" s="65"/>
      <c r="H142" s="65"/>
      <c r="I142" s="65"/>
      <c r="J142" s="65"/>
      <c r="K142" s="65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8"/>
    </row>
    <row r="143" ht="15.75" customHeight="1">
      <c r="A143" s="65"/>
      <c r="B143" s="59"/>
      <c r="C143" s="207"/>
      <c r="D143" s="59"/>
      <c r="E143" s="65"/>
      <c r="F143" s="65"/>
      <c r="G143" s="65"/>
      <c r="H143" s="65"/>
      <c r="I143" s="65"/>
      <c r="J143" s="65"/>
      <c r="K143" s="65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8"/>
    </row>
    <row r="144" ht="15.75" customHeight="1">
      <c r="A144" s="65"/>
      <c r="B144" s="59"/>
      <c r="C144" s="207"/>
      <c r="D144" s="59"/>
      <c r="E144" s="65"/>
      <c r="F144" s="65"/>
      <c r="G144" s="65"/>
      <c r="H144" s="65"/>
      <c r="I144" s="65"/>
      <c r="J144" s="65"/>
      <c r="K144" s="65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8"/>
    </row>
    <row r="145" ht="15.75" customHeight="1">
      <c r="A145" s="65"/>
      <c r="B145" s="59"/>
      <c r="C145" s="65"/>
      <c r="D145" s="59"/>
      <c r="E145" s="65"/>
      <c r="F145" s="65"/>
      <c r="G145" s="65"/>
      <c r="H145" s="65"/>
      <c r="I145" s="65"/>
      <c r="J145" s="65"/>
      <c r="K145" s="65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8"/>
    </row>
    <row r="146" ht="15.75" customHeight="1">
      <c r="A146" s="65"/>
      <c r="B146" s="59"/>
      <c r="C146" s="217"/>
      <c r="D146" s="59"/>
      <c r="E146" s="65"/>
      <c r="F146" s="65"/>
      <c r="G146" s="65"/>
      <c r="H146" s="65"/>
      <c r="I146" s="65"/>
      <c r="J146" s="65"/>
      <c r="K146" s="65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8"/>
    </row>
    <row r="147" ht="15.75" customHeight="1">
      <c r="A147" s="65"/>
      <c r="B147" s="59"/>
      <c r="C147" s="217"/>
      <c r="D147" s="59"/>
      <c r="E147" s="65"/>
      <c r="F147" s="65"/>
      <c r="G147" s="65"/>
      <c r="H147" s="65"/>
      <c r="I147" s="65"/>
      <c r="J147" s="65"/>
      <c r="K147" s="65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8"/>
    </row>
    <row r="148" ht="15.75" customHeight="1">
      <c r="A148" s="65"/>
      <c r="B148" s="59"/>
      <c r="C148" s="217"/>
      <c r="D148" s="59"/>
      <c r="E148" s="65"/>
      <c r="F148" s="65"/>
      <c r="G148" s="65"/>
      <c r="H148" s="65"/>
      <c r="I148" s="65"/>
      <c r="J148" s="65"/>
      <c r="K148" s="65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8"/>
    </row>
    <row r="149" ht="15.75" customHeight="1">
      <c r="A149" s="65"/>
      <c r="B149" s="59"/>
      <c r="C149" s="217"/>
      <c r="D149" s="59"/>
      <c r="E149" s="65"/>
      <c r="F149" s="65"/>
      <c r="G149" s="65"/>
      <c r="H149" s="65"/>
      <c r="I149" s="65"/>
      <c r="J149" s="65"/>
      <c r="K149" s="65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8"/>
    </row>
    <row r="150" ht="15.75" customHeight="1">
      <c r="A150" s="65"/>
      <c r="B150" s="59"/>
      <c r="C150" s="217"/>
      <c r="D150" s="59"/>
      <c r="E150" s="65"/>
      <c r="F150" s="65"/>
      <c r="G150" s="65"/>
      <c r="H150" s="65"/>
      <c r="I150" s="65"/>
      <c r="J150" s="65"/>
      <c r="K150" s="65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8"/>
    </row>
    <row r="151" ht="15.75" customHeight="1">
      <c r="A151" s="65"/>
      <c r="B151" s="59"/>
      <c r="C151" s="218"/>
      <c r="D151" s="59"/>
      <c r="E151" s="65"/>
      <c r="F151" s="65"/>
      <c r="G151" s="65"/>
      <c r="H151" s="65"/>
      <c r="I151" s="65"/>
      <c r="J151" s="65"/>
      <c r="K151" s="65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8"/>
    </row>
    <row r="152" ht="15.75" customHeight="1">
      <c r="A152" s="65"/>
      <c r="B152" s="59"/>
      <c r="C152" s="219"/>
      <c r="D152" s="59"/>
      <c r="E152" s="65"/>
      <c r="F152" s="65"/>
      <c r="G152" s="65"/>
      <c r="H152" s="65"/>
      <c r="I152" s="65"/>
      <c r="J152" s="65"/>
      <c r="K152" s="65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8"/>
    </row>
    <row r="153" ht="15.75" customHeight="1">
      <c r="A153" s="65"/>
      <c r="B153" s="59"/>
      <c r="C153" s="218"/>
      <c r="D153" s="59"/>
      <c r="E153" s="65"/>
      <c r="F153" s="65"/>
      <c r="G153" s="65"/>
      <c r="H153" s="65"/>
      <c r="I153" s="65"/>
      <c r="J153" s="65"/>
      <c r="K153" s="65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8"/>
    </row>
    <row r="154" ht="15.75" customHeight="1">
      <c r="A154" s="65"/>
      <c r="B154" s="59"/>
      <c r="C154" s="220"/>
      <c r="D154" s="59"/>
      <c r="E154" s="65"/>
      <c r="F154" s="65"/>
      <c r="G154" s="65"/>
      <c r="H154" s="65"/>
      <c r="I154" s="65"/>
      <c r="J154" s="65"/>
      <c r="K154" s="65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8"/>
    </row>
    <row r="155" ht="15.75" customHeight="1">
      <c r="A155" s="65"/>
      <c r="B155" s="59"/>
      <c r="C155" s="65"/>
      <c r="D155" s="59"/>
      <c r="E155" s="65"/>
      <c r="F155" s="65"/>
      <c r="G155" s="65"/>
      <c r="H155" s="65"/>
      <c r="I155" s="65"/>
      <c r="J155" s="65"/>
      <c r="K155" s="65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8"/>
    </row>
    <row r="156" ht="15.75" customHeight="1">
      <c r="A156" s="65"/>
      <c r="B156" s="59"/>
      <c r="C156" s="207"/>
      <c r="D156" s="59"/>
      <c r="E156" s="65"/>
      <c r="F156" s="65"/>
      <c r="G156" s="65"/>
      <c r="H156" s="65"/>
      <c r="I156" s="65"/>
      <c r="J156" s="65"/>
      <c r="K156" s="65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8"/>
    </row>
    <row r="157" ht="15.75" customHeight="1">
      <c r="A157" s="65"/>
      <c r="B157" s="59"/>
      <c r="C157" s="207"/>
      <c r="D157" s="59"/>
      <c r="E157" s="65"/>
      <c r="F157" s="65"/>
      <c r="G157" s="65"/>
      <c r="H157" s="65"/>
      <c r="I157" s="65"/>
      <c r="J157" s="65"/>
      <c r="K157" s="65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8"/>
    </row>
    <row r="158" ht="15.75" customHeight="1">
      <c r="A158" s="65"/>
      <c r="B158" s="59"/>
      <c r="C158" s="207"/>
      <c r="D158" s="59"/>
      <c r="E158" s="65"/>
      <c r="F158" s="65"/>
      <c r="G158" s="65"/>
      <c r="H158" s="65"/>
      <c r="I158" s="65"/>
      <c r="J158" s="65"/>
      <c r="K158" s="65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8"/>
    </row>
    <row r="159" ht="15.75" customHeight="1">
      <c r="A159" s="65"/>
      <c r="B159" s="59"/>
      <c r="C159" s="207"/>
      <c r="D159" s="59"/>
      <c r="E159" s="65"/>
      <c r="F159" s="65"/>
      <c r="G159" s="65"/>
      <c r="H159" s="65"/>
      <c r="I159" s="65"/>
      <c r="J159" s="65"/>
      <c r="K159" s="65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8"/>
    </row>
    <row r="160" ht="15.75" customHeight="1">
      <c r="A160" s="65"/>
      <c r="B160" s="59"/>
      <c r="C160" s="207"/>
      <c r="D160" s="59"/>
      <c r="E160" s="65"/>
      <c r="F160" s="65"/>
      <c r="G160" s="65"/>
      <c r="H160" s="65"/>
      <c r="I160" s="65"/>
      <c r="J160" s="65"/>
      <c r="K160" s="65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8"/>
    </row>
    <row r="161" ht="15.75" customHeight="1">
      <c r="A161" s="65"/>
      <c r="B161" s="59"/>
      <c r="C161" s="207"/>
      <c r="D161" s="59"/>
      <c r="E161" s="65"/>
      <c r="F161" s="65"/>
      <c r="G161" s="65"/>
      <c r="H161" s="65"/>
      <c r="I161" s="65"/>
      <c r="J161" s="65"/>
      <c r="K161" s="65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8"/>
    </row>
    <row r="162" ht="15.75" customHeight="1">
      <c r="A162" s="65"/>
      <c r="B162" s="59"/>
      <c r="C162" s="207"/>
      <c r="D162" s="59"/>
      <c r="E162" s="65"/>
      <c r="F162" s="65"/>
      <c r="G162" s="65"/>
      <c r="H162" s="65"/>
      <c r="I162" s="65"/>
      <c r="J162" s="65"/>
      <c r="K162" s="65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8"/>
    </row>
    <row r="163" ht="15.75" customHeight="1">
      <c r="A163" s="65"/>
      <c r="B163" s="59"/>
      <c r="C163" s="207"/>
      <c r="D163" s="59"/>
      <c r="E163" s="65"/>
      <c r="F163" s="65"/>
      <c r="G163" s="65"/>
      <c r="H163" s="65"/>
      <c r="I163" s="65"/>
      <c r="J163" s="65"/>
      <c r="K163" s="65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8"/>
    </row>
    <row r="164" ht="15.75" customHeight="1">
      <c r="A164" s="65"/>
      <c r="B164" s="59"/>
      <c r="C164" s="207"/>
      <c r="D164" s="59"/>
      <c r="E164" s="65"/>
      <c r="F164" s="65"/>
      <c r="G164" s="65"/>
      <c r="H164" s="65"/>
      <c r="I164" s="65"/>
      <c r="J164" s="65"/>
      <c r="K164" s="65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8"/>
    </row>
    <row r="165" ht="15.75" customHeight="1">
      <c r="A165" s="65"/>
      <c r="B165" s="59"/>
      <c r="C165" s="207"/>
      <c r="D165" s="59"/>
      <c r="E165" s="65"/>
      <c r="F165" s="65"/>
      <c r="G165" s="65"/>
      <c r="H165" s="65"/>
      <c r="I165" s="65"/>
      <c r="J165" s="65"/>
      <c r="K165" s="65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8"/>
    </row>
    <row r="166" ht="15.75" customHeight="1">
      <c r="A166" s="65"/>
      <c r="B166" s="59"/>
      <c r="C166" s="207"/>
      <c r="D166" s="59"/>
      <c r="E166" s="65"/>
      <c r="F166" s="65"/>
      <c r="G166" s="65"/>
      <c r="H166" s="65"/>
      <c r="I166" s="65"/>
      <c r="J166" s="65"/>
      <c r="K166" s="65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8"/>
    </row>
    <row r="167" ht="15.75" customHeight="1">
      <c r="A167" s="65"/>
      <c r="B167" s="59"/>
      <c r="C167" s="207"/>
      <c r="D167" s="59"/>
      <c r="E167" s="65"/>
      <c r="F167" s="65"/>
      <c r="G167" s="65"/>
      <c r="H167" s="65"/>
      <c r="I167" s="65"/>
      <c r="J167" s="65"/>
      <c r="K167" s="65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8"/>
    </row>
    <row r="168" ht="15.75" customHeight="1">
      <c r="A168" s="65"/>
      <c r="B168" s="59"/>
      <c r="C168" s="207"/>
      <c r="D168" s="59"/>
      <c r="E168" s="65"/>
      <c r="F168" s="65"/>
      <c r="G168" s="65"/>
      <c r="H168" s="65"/>
      <c r="I168" s="65"/>
      <c r="J168" s="65"/>
      <c r="K168" s="65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8"/>
    </row>
    <row r="169" ht="15.75" customHeight="1">
      <c r="A169" s="65"/>
      <c r="B169" s="59"/>
      <c r="C169" s="207"/>
      <c r="D169" s="59"/>
      <c r="E169" s="65"/>
      <c r="F169" s="65"/>
      <c r="G169" s="65"/>
      <c r="H169" s="65"/>
      <c r="I169" s="65"/>
      <c r="J169" s="65"/>
      <c r="K169" s="65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8"/>
    </row>
    <row r="170" ht="15.75" customHeight="1">
      <c r="A170" s="65"/>
      <c r="B170" s="59"/>
      <c r="C170" s="207"/>
      <c r="D170" s="59"/>
      <c r="E170" s="65"/>
      <c r="F170" s="65"/>
      <c r="G170" s="65"/>
      <c r="H170" s="65"/>
      <c r="I170" s="65"/>
      <c r="J170" s="65"/>
      <c r="K170" s="65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8"/>
    </row>
    <row r="171" ht="15.75" customHeight="1">
      <c r="A171" s="65"/>
      <c r="B171" s="59"/>
      <c r="C171" s="207"/>
      <c r="D171" s="59"/>
      <c r="E171" s="65"/>
      <c r="F171" s="65"/>
      <c r="G171" s="65"/>
      <c r="H171" s="65"/>
      <c r="I171" s="65"/>
      <c r="J171" s="65"/>
      <c r="K171" s="65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8"/>
    </row>
    <row r="172" ht="15.75" customHeight="1">
      <c r="A172" s="65"/>
      <c r="B172" s="59"/>
      <c r="C172" s="207"/>
      <c r="D172" s="59"/>
      <c r="E172" s="65"/>
      <c r="F172" s="65"/>
      <c r="G172" s="65"/>
      <c r="H172" s="65"/>
      <c r="I172" s="65"/>
      <c r="J172" s="65"/>
      <c r="K172" s="65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8"/>
    </row>
    <row r="173" ht="15.75" customHeight="1">
      <c r="A173" s="65"/>
      <c r="B173" s="59"/>
      <c r="C173" s="207"/>
      <c r="D173" s="59"/>
      <c r="E173" s="65"/>
      <c r="F173" s="65"/>
      <c r="G173" s="65"/>
      <c r="H173" s="65"/>
      <c r="I173" s="65"/>
      <c r="J173" s="65"/>
      <c r="K173" s="65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8"/>
    </row>
    <row r="174" ht="15.75" customHeight="1">
      <c r="A174" s="65"/>
      <c r="B174" s="59"/>
      <c r="C174" s="207"/>
      <c r="D174" s="59"/>
      <c r="E174" s="65"/>
      <c r="F174" s="65"/>
      <c r="G174" s="65"/>
      <c r="H174" s="65"/>
      <c r="I174" s="65"/>
      <c r="J174" s="65"/>
      <c r="K174" s="65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8"/>
    </row>
    <row r="175" ht="15.75" customHeight="1">
      <c r="A175" s="65"/>
      <c r="B175" s="59"/>
      <c r="C175" s="207"/>
      <c r="D175" s="59"/>
      <c r="E175" s="65"/>
      <c r="F175" s="65"/>
      <c r="G175" s="65"/>
      <c r="H175" s="65"/>
      <c r="I175" s="65"/>
      <c r="J175" s="65"/>
      <c r="K175" s="65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8"/>
    </row>
    <row r="176" ht="15.75" customHeight="1">
      <c r="A176" s="65"/>
      <c r="B176" s="59"/>
      <c r="C176" s="207"/>
      <c r="D176" s="59"/>
      <c r="E176" s="65"/>
      <c r="F176" s="65"/>
      <c r="G176" s="65"/>
      <c r="H176" s="65"/>
      <c r="I176" s="65"/>
      <c r="J176" s="65"/>
      <c r="K176" s="65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8"/>
    </row>
    <row r="177" ht="15.75" customHeight="1">
      <c r="A177" s="65"/>
      <c r="B177" s="59"/>
      <c r="C177" s="207"/>
      <c r="D177" s="59"/>
      <c r="E177" s="65"/>
      <c r="F177" s="65"/>
      <c r="G177" s="65"/>
      <c r="H177" s="65"/>
      <c r="I177" s="65"/>
      <c r="J177" s="65"/>
      <c r="K177" s="65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8"/>
    </row>
    <row r="178" ht="15.75" customHeight="1">
      <c r="A178" s="65"/>
      <c r="B178" s="59"/>
      <c r="C178" s="207"/>
      <c r="D178" s="59"/>
      <c r="E178" s="65"/>
      <c r="F178" s="65"/>
      <c r="G178" s="65"/>
      <c r="H178" s="65"/>
      <c r="I178" s="65"/>
      <c r="J178" s="65"/>
      <c r="K178" s="65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8"/>
    </row>
    <row r="179" ht="15.75" customHeight="1">
      <c r="A179" s="65"/>
      <c r="B179" s="59"/>
      <c r="C179" s="207"/>
      <c r="D179" s="59"/>
      <c r="E179" s="65"/>
      <c r="F179" s="65"/>
      <c r="G179" s="65"/>
      <c r="H179" s="65"/>
      <c r="I179" s="65"/>
      <c r="J179" s="65"/>
      <c r="K179" s="65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8"/>
    </row>
    <row r="180" ht="15.75" customHeight="1">
      <c r="A180" s="65"/>
      <c r="B180" s="59"/>
      <c r="C180" s="207"/>
      <c r="D180" s="59"/>
      <c r="E180" s="65"/>
      <c r="F180" s="65"/>
      <c r="G180" s="65"/>
      <c r="H180" s="65"/>
      <c r="I180" s="65"/>
      <c r="J180" s="65"/>
      <c r="K180" s="65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8"/>
    </row>
    <row r="181" ht="15.75" customHeight="1">
      <c r="A181" s="65"/>
      <c r="B181" s="59"/>
      <c r="C181" s="207"/>
      <c r="D181" s="59"/>
      <c r="E181" s="65"/>
      <c r="F181" s="65"/>
      <c r="G181" s="65"/>
      <c r="H181" s="65"/>
      <c r="I181" s="65"/>
      <c r="J181" s="65"/>
      <c r="K181" s="65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8"/>
    </row>
    <row r="182" ht="15.75" customHeight="1">
      <c r="A182" s="65"/>
      <c r="B182" s="59"/>
      <c r="C182" s="207"/>
      <c r="D182" s="59"/>
      <c r="E182" s="65"/>
      <c r="F182" s="65"/>
      <c r="G182" s="65"/>
      <c r="H182" s="65"/>
      <c r="I182" s="65"/>
      <c r="J182" s="65"/>
      <c r="K182" s="65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8"/>
    </row>
    <row r="183" ht="15.75" customHeight="1">
      <c r="A183" s="65"/>
      <c r="B183" s="59"/>
      <c r="C183" s="207"/>
      <c r="D183" s="59"/>
      <c r="E183" s="65"/>
      <c r="F183" s="65"/>
      <c r="G183" s="65"/>
      <c r="H183" s="65"/>
      <c r="I183" s="65"/>
      <c r="J183" s="65"/>
      <c r="K183" s="65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8"/>
    </row>
    <row r="184" ht="15.75" customHeight="1">
      <c r="A184" s="65"/>
      <c r="B184" s="59"/>
      <c r="C184" s="207"/>
      <c r="D184" s="59"/>
      <c r="E184" s="65"/>
      <c r="F184" s="65"/>
      <c r="G184" s="65"/>
      <c r="H184" s="65"/>
      <c r="I184" s="65"/>
      <c r="J184" s="65"/>
      <c r="K184" s="65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8"/>
    </row>
    <row r="185" ht="15.75" customHeight="1">
      <c r="A185" s="65"/>
      <c r="B185" s="59"/>
      <c r="C185" s="207"/>
      <c r="D185" s="59"/>
      <c r="E185" s="65"/>
      <c r="F185" s="65"/>
      <c r="G185" s="65"/>
      <c r="H185" s="65"/>
      <c r="I185" s="65"/>
      <c r="J185" s="65"/>
      <c r="K185" s="65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8"/>
    </row>
    <row r="186" ht="15.75" customHeight="1">
      <c r="A186" s="65"/>
      <c r="B186" s="59"/>
      <c r="C186" s="207"/>
      <c r="D186" s="59"/>
      <c r="E186" s="65"/>
      <c r="F186" s="65"/>
      <c r="G186" s="65"/>
      <c r="H186" s="65"/>
      <c r="I186" s="65"/>
      <c r="J186" s="65"/>
      <c r="K186" s="65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8"/>
    </row>
    <row r="187" ht="15.75" customHeight="1">
      <c r="A187" s="65"/>
      <c r="B187" s="59"/>
      <c r="C187" s="65"/>
      <c r="D187" s="59"/>
      <c r="E187" s="65"/>
      <c r="F187" s="65"/>
      <c r="G187" s="65"/>
      <c r="H187" s="65"/>
      <c r="I187" s="65"/>
      <c r="J187" s="65"/>
      <c r="K187" s="65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8"/>
    </row>
    <row r="188" ht="15.75" customHeight="1">
      <c r="A188" s="65"/>
      <c r="B188" s="59"/>
      <c r="C188" s="65"/>
      <c r="D188" s="59"/>
      <c r="E188" s="65"/>
      <c r="F188" s="65"/>
      <c r="G188" s="65"/>
      <c r="H188" s="65"/>
      <c r="I188" s="65"/>
      <c r="J188" s="65"/>
      <c r="K188" s="65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8"/>
    </row>
    <row r="189" ht="15.75" customHeight="1">
      <c r="A189" s="65"/>
      <c r="B189" s="59"/>
      <c r="C189" s="65"/>
      <c r="D189" s="59"/>
      <c r="E189" s="65"/>
      <c r="F189" s="65"/>
      <c r="G189" s="65"/>
      <c r="H189" s="65"/>
      <c r="I189" s="65"/>
      <c r="J189" s="65"/>
      <c r="K189" s="65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8"/>
    </row>
    <row r="190" ht="15.75" customHeight="1">
      <c r="A190" s="65"/>
      <c r="B190" s="59"/>
      <c r="C190" s="65"/>
      <c r="D190" s="59"/>
      <c r="E190" s="65"/>
      <c r="F190" s="65"/>
      <c r="G190" s="65"/>
      <c r="H190" s="65"/>
      <c r="I190" s="65"/>
      <c r="J190" s="65"/>
      <c r="K190" s="65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8"/>
    </row>
    <row r="191" ht="15.75" customHeight="1">
      <c r="A191" s="65"/>
      <c r="B191" s="59"/>
      <c r="C191" s="65"/>
      <c r="D191" s="59"/>
      <c r="E191" s="65"/>
      <c r="F191" s="65"/>
      <c r="G191" s="65"/>
      <c r="H191" s="65"/>
      <c r="I191" s="65"/>
      <c r="J191" s="65"/>
      <c r="K191" s="65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8"/>
    </row>
    <row r="192" ht="15.75" customHeight="1">
      <c r="A192" s="65"/>
      <c r="B192" s="59"/>
      <c r="C192" s="65"/>
      <c r="D192" s="59"/>
      <c r="E192" s="65"/>
      <c r="F192" s="65"/>
      <c r="G192" s="65"/>
      <c r="H192" s="65"/>
      <c r="I192" s="65"/>
      <c r="J192" s="65"/>
      <c r="K192" s="65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8"/>
    </row>
    <row r="193" ht="15.75" customHeight="1">
      <c r="A193" s="65"/>
      <c r="B193" s="59"/>
      <c r="C193" s="65"/>
      <c r="D193" s="59"/>
      <c r="E193" s="65"/>
      <c r="F193" s="65"/>
      <c r="G193" s="65"/>
      <c r="H193" s="65"/>
      <c r="I193" s="65"/>
      <c r="J193" s="65"/>
      <c r="K193" s="65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8"/>
    </row>
    <row r="194" ht="15.75" customHeight="1">
      <c r="A194" s="65"/>
      <c r="B194" s="59"/>
      <c r="C194" s="65"/>
      <c r="D194" s="59"/>
      <c r="E194" s="65"/>
      <c r="F194" s="65"/>
      <c r="G194" s="65"/>
      <c r="H194" s="65"/>
      <c r="I194" s="65"/>
      <c r="J194" s="65"/>
      <c r="K194" s="65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8"/>
    </row>
    <row r="195" ht="15.75" customHeight="1">
      <c r="A195" s="65"/>
      <c r="B195" s="59"/>
      <c r="C195" s="65"/>
      <c r="D195" s="59"/>
      <c r="E195" s="65"/>
      <c r="F195" s="65"/>
      <c r="G195" s="65"/>
      <c r="H195" s="65"/>
      <c r="I195" s="65"/>
      <c r="J195" s="65"/>
      <c r="K195" s="65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8"/>
    </row>
    <row r="196" ht="15.75" customHeight="1">
      <c r="A196" s="65"/>
      <c r="B196" s="59"/>
      <c r="C196" s="65"/>
      <c r="D196" s="59"/>
      <c r="E196" s="65"/>
      <c r="F196" s="65"/>
      <c r="G196" s="65"/>
      <c r="H196" s="65"/>
      <c r="I196" s="65"/>
      <c r="J196" s="65"/>
      <c r="K196" s="65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8"/>
    </row>
    <row r="197" ht="15.75" customHeight="1">
      <c r="A197" s="65"/>
      <c r="B197" s="59"/>
      <c r="C197" s="65"/>
      <c r="D197" s="59"/>
      <c r="E197" s="65"/>
      <c r="F197" s="65"/>
      <c r="G197" s="65"/>
      <c r="H197" s="65"/>
      <c r="I197" s="65"/>
      <c r="J197" s="65"/>
      <c r="K197" s="65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8"/>
    </row>
    <row r="198" ht="15.75" customHeight="1">
      <c r="A198" s="65"/>
      <c r="B198" s="59"/>
      <c r="C198" s="65"/>
      <c r="D198" s="59"/>
      <c r="E198" s="65"/>
      <c r="F198" s="65"/>
      <c r="G198" s="65"/>
      <c r="H198" s="65"/>
      <c r="I198" s="65"/>
      <c r="J198" s="65"/>
      <c r="K198" s="65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8"/>
    </row>
    <row r="199" ht="15.75" customHeight="1">
      <c r="A199" s="65"/>
      <c r="B199" s="59"/>
      <c r="C199" s="65"/>
      <c r="D199" s="59"/>
      <c r="E199" s="65"/>
      <c r="F199" s="65"/>
      <c r="G199" s="65"/>
      <c r="H199" s="65"/>
      <c r="I199" s="65"/>
      <c r="J199" s="65"/>
      <c r="K199" s="65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8"/>
    </row>
    <row r="200" ht="15.75" customHeight="1">
      <c r="A200" s="65"/>
      <c r="B200" s="59"/>
      <c r="C200" s="65"/>
      <c r="D200" s="59"/>
      <c r="E200" s="65"/>
      <c r="F200" s="65"/>
      <c r="G200" s="65"/>
      <c r="H200" s="65"/>
      <c r="I200" s="65"/>
      <c r="J200" s="65"/>
      <c r="K200" s="65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8"/>
    </row>
    <row r="201" ht="15.75" customHeight="1">
      <c r="A201" s="65"/>
      <c r="B201" s="59"/>
      <c r="C201" s="65"/>
      <c r="D201" s="59"/>
      <c r="E201" s="65"/>
      <c r="F201" s="65"/>
      <c r="G201" s="65"/>
      <c r="H201" s="65"/>
      <c r="I201" s="65"/>
      <c r="J201" s="65"/>
      <c r="K201" s="65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8"/>
    </row>
    <row r="202" ht="15.75" customHeight="1">
      <c r="A202" s="65"/>
      <c r="B202" s="59"/>
      <c r="C202" s="65"/>
      <c r="D202" s="59"/>
      <c r="E202" s="65"/>
      <c r="F202" s="65"/>
      <c r="G202" s="65"/>
      <c r="H202" s="65"/>
      <c r="I202" s="65"/>
      <c r="J202" s="65"/>
      <c r="K202" s="65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8"/>
    </row>
    <row r="203" ht="15.75" customHeight="1">
      <c r="A203" s="65"/>
      <c r="B203" s="59"/>
      <c r="C203" s="65"/>
      <c r="D203" s="59"/>
      <c r="E203" s="65"/>
      <c r="F203" s="65"/>
      <c r="G203" s="65"/>
      <c r="H203" s="65"/>
      <c r="I203" s="65"/>
      <c r="J203" s="65"/>
      <c r="K203" s="65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8"/>
    </row>
    <row r="204" ht="15.75" customHeight="1">
      <c r="A204" s="65"/>
      <c r="B204" s="59"/>
      <c r="C204" s="65"/>
      <c r="D204" s="59"/>
      <c r="E204" s="65"/>
      <c r="F204" s="65"/>
      <c r="G204" s="65"/>
      <c r="H204" s="65"/>
      <c r="I204" s="65"/>
      <c r="J204" s="65"/>
      <c r="K204" s="65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8"/>
    </row>
    <row r="205" ht="15.75" customHeight="1">
      <c r="A205" s="65"/>
      <c r="B205" s="59"/>
      <c r="C205" s="65"/>
      <c r="D205" s="59"/>
      <c r="E205" s="65"/>
      <c r="F205" s="65"/>
      <c r="G205" s="65"/>
      <c r="H205" s="65"/>
      <c r="I205" s="65"/>
      <c r="J205" s="65"/>
      <c r="K205" s="65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8"/>
    </row>
    <row r="206" ht="15.75" customHeight="1">
      <c r="A206" s="65"/>
      <c r="B206" s="59"/>
      <c r="C206" s="65"/>
      <c r="D206" s="59"/>
      <c r="E206" s="65"/>
      <c r="F206" s="65"/>
      <c r="G206" s="65"/>
      <c r="H206" s="65"/>
      <c r="I206" s="65"/>
      <c r="J206" s="65"/>
      <c r="K206" s="65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8"/>
    </row>
    <row r="207" ht="15.75" customHeight="1">
      <c r="A207" s="65"/>
      <c r="B207" s="59"/>
      <c r="C207" s="65"/>
      <c r="D207" s="59"/>
      <c r="E207" s="65"/>
      <c r="F207" s="65"/>
      <c r="G207" s="65"/>
      <c r="H207" s="65"/>
      <c r="I207" s="65"/>
      <c r="J207" s="65"/>
      <c r="K207" s="65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8"/>
    </row>
    <row r="208" ht="15.75" customHeight="1">
      <c r="A208" s="65"/>
      <c r="B208" s="59"/>
      <c r="C208" s="65"/>
      <c r="D208" s="59"/>
      <c r="E208" s="65"/>
      <c r="F208" s="65"/>
      <c r="G208" s="65"/>
      <c r="H208" s="65"/>
      <c r="I208" s="65"/>
      <c r="J208" s="65"/>
      <c r="K208" s="65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8"/>
    </row>
    <row r="209" ht="15.75" customHeight="1">
      <c r="A209" s="65"/>
      <c r="B209" s="59"/>
      <c r="C209" s="65"/>
      <c r="D209" s="59"/>
      <c r="E209" s="65"/>
      <c r="F209" s="65"/>
      <c r="G209" s="65"/>
      <c r="H209" s="65"/>
      <c r="I209" s="65"/>
      <c r="J209" s="65"/>
      <c r="K209" s="65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8"/>
    </row>
    <row r="210" ht="15.75" customHeight="1">
      <c r="A210" s="65"/>
      <c r="B210" s="59"/>
      <c r="C210" s="65"/>
      <c r="D210" s="59"/>
      <c r="E210" s="65"/>
      <c r="F210" s="65"/>
      <c r="G210" s="65"/>
      <c r="H210" s="65"/>
      <c r="I210" s="65"/>
      <c r="J210" s="65"/>
      <c r="K210" s="65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8"/>
    </row>
    <row r="211" ht="15.75" customHeight="1">
      <c r="A211" s="65"/>
      <c r="B211" s="59"/>
      <c r="C211" s="65"/>
      <c r="D211" s="59"/>
      <c r="E211" s="65"/>
      <c r="F211" s="65"/>
      <c r="G211" s="65"/>
      <c r="H211" s="65"/>
      <c r="I211" s="65"/>
      <c r="J211" s="65"/>
      <c r="K211" s="65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8"/>
    </row>
    <row r="212" ht="15.75" customHeight="1">
      <c r="A212" s="65"/>
      <c r="B212" s="59"/>
      <c r="C212" s="65"/>
      <c r="D212" s="59"/>
      <c r="E212" s="65"/>
      <c r="F212" s="65"/>
      <c r="G212" s="65"/>
      <c r="H212" s="65"/>
      <c r="I212" s="65"/>
      <c r="J212" s="65"/>
      <c r="K212" s="65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8"/>
    </row>
    <row r="213" ht="15.75" customHeight="1">
      <c r="A213" s="65"/>
      <c r="B213" s="59"/>
      <c r="C213" s="65"/>
      <c r="D213" s="59"/>
      <c r="E213" s="65"/>
      <c r="F213" s="65"/>
      <c r="G213" s="65"/>
      <c r="H213" s="65"/>
      <c r="I213" s="65"/>
      <c r="J213" s="65"/>
      <c r="K213" s="65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8"/>
    </row>
    <row r="214" ht="15.75" customHeight="1">
      <c r="A214" s="65"/>
      <c r="B214" s="59"/>
      <c r="C214" s="65"/>
      <c r="D214" s="59"/>
      <c r="E214" s="65"/>
      <c r="F214" s="65"/>
      <c r="G214" s="65"/>
      <c r="H214" s="65"/>
      <c r="I214" s="65"/>
      <c r="J214" s="65"/>
      <c r="K214" s="65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8"/>
    </row>
    <row r="215" ht="15.75" customHeight="1">
      <c r="A215" s="65"/>
      <c r="B215" s="59"/>
      <c r="C215" s="65"/>
      <c r="D215" s="59"/>
      <c r="E215" s="65"/>
      <c r="F215" s="65"/>
      <c r="G215" s="65"/>
      <c r="H215" s="65"/>
      <c r="I215" s="65"/>
      <c r="J215" s="65"/>
      <c r="K215" s="65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8"/>
    </row>
    <row r="216" ht="15.75" customHeight="1">
      <c r="A216" s="65"/>
      <c r="B216" s="59"/>
      <c r="C216" s="65"/>
      <c r="D216" s="59"/>
      <c r="E216" s="65"/>
      <c r="F216" s="65"/>
      <c r="G216" s="65"/>
      <c r="H216" s="65"/>
      <c r="I216" s="65"/>
      <c r="J216" s="65"/>
      <c r="K216" s="65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8"/>
    </row>
    <row r="217" ht="15.75" customHeight="1">
      <c r="A217" s="65"/>
      <c r="B217" s="59"/>
      <c r="C217" s="65"/>
      <c r="D217" s="59"/>
      <c r="E217" s="65"/>
      <c r="F217" s="65"/>
      <c r="G217" s="65"/>
      <c r="H217" s="65"/>
      <c r="I217" s="65"/>
      <c r="J217" s="65"/>
      <c r="K217" s="65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8"/>
    </row>
    <row r="218" ht="15.75" customHeight="1">
      <c r="A218" s="65"/>
      <c r="B218" s="59"/>
      <c r="C218" s="65"/>
      <c r="D218" s="59"/>
      <c r="E218" s="65"/>
      <c r="F218" s="65"/>
      <c r="G218" s="65"/>
      <c r="H218" s="65"/>
      <c r="I218" s="65"/>
      <c r="J218" s="65"/>
      <c r="K218" s="65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8"/>
    </row>
    <row r="219" ht="15.75" customHeight="1">
      <c r="A219" s="65"/>
      <c r="B219" s="59"/>
      <c r="C219" s="65"/>
      <c r="D219" s="59"/>
      <c r="E219" s="65"/>
      <c r="F219" s="65"/>
      <c r="G219" s="65"/>
      <c r="H219" s="65"/>
      <c r="I219" s="65"/>
      <c r="J219" s="65"/>
      <c r="K219" s="65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8"/>
    </row>
    <row r="220" ht="15.75" customHeight="1">
      <c r="A220" s="65"/>
      <c r="B220" s="59"/>
      <c r="C220" s="65"/>
      <c r="D220" s="59"/>
      <c r="E220" s="65"/>
      <c r="F220" s="65"/>
      <c r="G220" s="65"/>
      <c r="H220" s="65"/>
      <c r="I220" s="65"/>
      <c r="J220" s="65"/>
      <c r="K220" s="65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8"/>
    </row>
    <row r="221" ht="15.75" customHeight="1">
      <c r="A221" s="65"/>
      <c r="B221" s="59"/>
      <c r="C221" s="65"/>
      <c r="D221" s="59"/>
      <c r="E221" s="65"/>
      <c r="F221" s="65"/>
      <c r="G221" s="65"/>
      <c r="H221" s="65"/>
      <c r="I221" s="65"/>
      <c r="J221" s="65"/>
      <c r="K221" s="65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8"/>
    </row>
    <row r="222" ht="15.75" customHeight="1">
      <c r="A222" s="65"/>
      <c r="B222" s="59"/>
      <c r="C222" s="65"/>
      <c r="D222" s="59"/>
      <c r="E222" s="65"/>
      <c r="F222" s="65"/>
      <c r="G222" s="65"/>
      <c r="H222" s="65"/>
      <c r="I222" s="65"/>
      <c r="J222" s="65"/>
      <c r="K222" s="65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8"/>
    </row>
    <row r="223" ht="15.75" customHeight="1">
      <c r="A223" s="65"/>
      <c r="B223" s="59"/>
      <c r="C223" s="65"/>
      <c r="D223" s="59"/>
      <c r="E223" s="65"/>
      <c r="F223" s="65"/>
      <c r="G223" s="65"/>
      <c r="H223" s="65"/>
      <c r="I223" s="65"/>
      <c r="J223" s="65"/>
      <c r="K223" s="65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8"/>
    </row>
    <row r="224" ht="15.75" customHeight="1">
      <c r="A224" s="65"/>
      <c r="B224" s="59"/>
      <c r="C224" s="65"/>
      <c r="D224" s="59"/>
      <c r="E224" s="65"/>
      <c r="F224" s="65"/>
      <c r="G224" s="65"/>
      <c r="H224" s="65"/>
      <c r="I224" s="65"/>
      <c r="J224" s="65"/>
      <c r="K224" s="65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8"/>
    </row>
    <row r="225" ht="15.75" customHeight="1">
      <c r="A225" s="65"/>
      <c r="B225" s="59"/>
      <c r="C225" s="65"/>
      <c r="D225" s="59"/>
      <c r="E225" s="65"/>
      <c r="F225" s="65"/>
      <c r="G225" s="65"/>
      <c r="H225" s="65"/>
      <c r="I225" s="65"/>
      <c r="J225" s="65"/>
    </row>
    <row r="226" ht="15.75" customHeight="1">
      <c r="A226" s="65"/>
      <c r="B226" s="59"/>
      <c r="C226" s="65"/>
      <c r="D226" s="59"/>
      <c r="E226" s="65"/>
      <c r="F226" s="65"/>
      <c r="G226" s="65"/>
      <c r="H226" s="65"/>
      <c r="I226" s="65"/>
      <c r="J226" s="65"/>
    </row>
    <row r="227" ht="15.75" customHeight="1">
      <c r="A227" s="65"/>
      <c r="B227" s="59"/>
      <c r="C227" s="65"/>
      <c r="D227" s="59"/>
      <c r="E227" s="65"/>
      <c r="F227" s="65"/>
      <c r="G227" s="65"/>
      <c r="H227" s="65"/>
      <c r="I227" s="65"/>
      <c r="J227" s="65"/>
    </row>
    <row r="228" ht="15.75" customHeight="1">
      <c r="A228" s="65"/>
      <c r="B228" s="59"/>
      <c r="C228" s="65"/>
      <c r="D228" s="59"/>
      <c r="E228" s="65"/>
      <c r="F228" s="65"/>
      <c r="G228" s="65"/>
      <c r="H228" s="65"/>
      <c r="I228" s="65"/>
      <c r="J228" s="65"/>
    </row>
    <row r="229" ht="15.75" customHeight="1">
      <c r="A229" s="65"/>
      <c r="B229" s="59"/>
      <c r="C229" s="65"/>
      <c r="D229" s="59"/>
      <c r="E229" s="65"/>
      <c r="F229" s="65"/>
      <c r="G229" s="65"/>
      <c r="H229" s="65"/>
      <c r="I229" s="65"/>
      <c r="J229" s="65"/>
    </row>
    <row r="230" ht="15.75" customHeight="1">
      <c r="A230" s="65"/>
      <c r="B230" s="59"/>
      <c r="C230" s="65"/>
      <c r="D230" s="59"/>
      <c r="E230" s="65"/>
      <c r="F230" s="65"/>
      <c r="G230" s="65"/>
      <c r="H230" s="65"/>
      <c r="I230" s="65"/>
      <c r="J230" s="65"/>
    </row>
    <row r="231" ht="15.75" customHeight="1">
      <c r="A231" s="65"/>
      <c r="B231" s="59"/>
      <c r="C231" s="65"/>
      <c r="D231" s="59"/>
      <c r="E231" s="65"/>
      <c r="F231" s="65"/>
      <c r="G231" s="65"/>
      <c r="H231" s="65"/>
      <c r="I231" s="65"/>
      <c r="J231" s="65"/>
    </row>
    <row r="232" ht="15.75" customHeight="1">
      <c r="A232" s="65"/>
      <c r="B232" s="59"/>
      <c r="C232" s="65"/>
      <c r="D232" s="59"/>
      <c r="E232" s="65"/>
      <c r="F232" s="65"/>
      <c r="G232" s="65"/>
      <c r="H232" s="65"/>
      <c r="I232" s="65"/>
      <c r="J232" s="65"/>
    </row>
    <row r="233" ht="15.75" customHeight="1">
      <c r="A233" s="65"/>
      <c r="B233" s="59"/>
      <c r="C233" s="65"/>
      <c r="D233" s="59"/>
      <c r="E233" s="65"/>
      <c r="F233" s="65"/>
      <c r="G233" s="65"/>
      <c r="H233" s="65"/>
      <c r="I233" s="65"/>
      <c r="J233" s="65"/>
    </row>
    <row r="234" ht="15.75" customHeight="1">
      <c r="A234" s="65"/>
      <c r="B234" s="59"/>
      <c r="C234" s="65"/>
      <c r="D234" s="59"/>
      <c r="E234" s="65"/>
      <c r="F234" s="65"/>
      <c r="G234" s="65"/>
      <c r="H234" s="65"/>
      <c r="I234" s="65"/>
      <c r="J234" s="65"/>
    </row>
    <row r="235" ht="15.75" customHeight="1">
      <c r="A235" s="65"/>
      <c r="B235" s="59"/>
      <c r="C235" s="65"/>
      <c r="D235" s="59"/>
      <c r="E235" s="65"/>
      <c r="F235" s="65"/>
      <c r="G235" s="65"/>
      <c r="H235" s="65"/>
      <c r="I235" s="65"/>
      <c r="J235" s="65"/>
    </row>
    <row r="236" ht="15.75" customHeight="1">
      <c r="A236" s="65"/>
      <c r="B236" s="59"/>
      <c r="C236" s="65"/>
      <c r="D236" s="59"/>
      <c r="E236" s="65"/>
      <c r="F236" s="65"/>
      <c r="G236" s="65"/>
      <c r="H236" s="65"/>
      <c r="I236" s="65"/>
      <c r="J236" s="65"/>
    </row>
    <row r="237" ht="15.75" customHeight="1">
      <c r="A237" s="65"/>
      <c r="B237" s="59"/>
      <c r="C237" s="65"/>
      <c r="D237" s="59"/>
      <c r="E237" s="65"/>
      <c r="F237" s="65"/>
      <c r="G237" s="65"/>
      <c r="H237" s="65"/>
      <c r="I237" s="65"/>
      <c r="J237" s="65"/>
    </row>
    <row r="238" ht="15.75" customHeight="1">
      <c r="A238" s="65"/>
      <c r="B238" s="59"/>
      <c r="C238" s="65"/>
      <c r="D238" s="59"/>
      <c r="E238" s="65"/>
      <c r="F238" s="65"/>
      <c r="G238" s="65"/>
      <c r="H238" s="65"/>
      <c r="I238" s="65"/>
      <c r="J238" s="65"/>
    </row>
    <row r="239" ht="15.75" customHeight="1">
      <c r="A239" s="65"/>
      <c r="B239" s="59"/>
      <c r="C239" s="65"/>
      <c r="D239" s="59"/>
      <c r="E239" s="65"/>
      <c r="F239" s="65"/>
      <c r="G239" s="65"/>
      <c r="H239" s="65"/>
      <c r="I239" s="65"/>
      <c r="J239" s="65"/>
    </row>
    <row r="240" ht="15.75" customHeight="1">
      <c r="A240" s="65"/>
      <c r="B240" s="59"/>
      <c r="C240" s="65"/>
      <c r="D240" s="59"/>
      <c r="E240" s="65"/>
      <c r="F240" s="65"/>
      <c r="G240" s="65"/>
      <c r="H240" s="65"/>
      <c r="I240" s="65"/>
      <c r="J240" s="65"/>
    </row>
    <row r="241" ht="15.75" customHeight="1">
      <c r="A241" s="65"/>
      <c r="B241" s="59"/>
      <c r="C241" s="65"/>
      <c r="D241" s="59"/>
      <c r="E241" s="65"/>
      <c r="F241" s="65"/>
      <c r="G241" s="65"/>
      <c r="H241" s="65"/>
      <c r="I241" s="65"/>
      <c r="J241" s="65"/>
    </row>
    <row r="242" ht="15.75" customHeight="1">
      <c r="A242" s="65"/>
      <c r="B242" s="59"/>
      <c r="C242" s="65"/>
      <c r="D242" s="59"/>
      <c r="E242" s="65"/>
      <c r="F242" s="65"/>
      <c r="G242" s="65"/>
      <c r="H242" s="65"/>
      <c r="I242" s="65"/>
      <c r="J242" s="65"/>
    </row>
    <row r="243" ht="15.75" customHeight="1">
      <c r="A243" s="65"/>
      <c r="B243" s="59"/>
      <c r="C243" s="65"/>
      <c r="D243" s="59"/>
      <c r="E243" s="65"/>
      <c r="F243" s="65"/>
      <c r="G243" s="65"/>
      <c r="H243" s="65"/>
      <c r="I243" s="65"/>
      <c r="J243" s="65"/>
    </row>
    <row r="244" ht="15.75" customHeight="1">
      <c r="A244" s="65"/>
      <c r="B244" s="59"/>
      <c r="C244" s="65"/>
      <c r="D244" s="59"/>
      <c r="E244" s="65"/>
      <c r="F244" s="65"/>
      <c r="G244" s="65"/>
      <c r="H244" s="65"/>
      <c r="I244" s="65"/>
      <c r="J244" s="65"/>
    </row>
    <row r="245" ht="15.75" customHeight="1">
      <c r="A245" s="65"/>
      <c r="B245" s="59"/>
      <c r="C245" s="65"/>
      <c r="D245" s="59"/>
      <c r="E245" s="65"/>
      <c r="F245" s="65"/>
      <c r="G245" s="65"/>
      <c r="H245" s="65"/>
      <c r="I245" s="65"/>
      <c r="J245" s="65"/>
    </row>
    <row r="246" ht="15.75" customHeight="1">
      <c r="A246" s="65"/>
      <c r="B246" s="59"/>
      <c r="C246" s="65"/>
      <c r="D246" s="59"/>
      <c r="E246" s="65"/>
      <c r="F246" s="65"/>
      <c r="G246" s="65"/>
      <c r="H246" s="65"/>
      <c r="I246" s="65"/>
      <c r="J246" s="65"/>
    </row>
    <row r="247" ht="15.75" customHeight="1">
      <c r="A247" s="65"/>
      <c r="B247" s="59"/>
      <c r="C247" s="65"/>
      <c r="D247" s="59"/>
      <c r="E247" s="65"/>
      <c r="F247" s="65"/>
      <c r="G247" s="65"/>
      <c r="H247" s="65"/>
      <c r="I247" s="65"/>
      <c r="J247" s="65"/>
    </row>
    <row r="248" ht="15.75" customHeight="1">
      <c r="A248" s="65"/>
      <c r="B248" s="59"/>
      <c r="C248" s="65"/>
      <c r="D248" s="59"/>
      <c r="E248" s="65"/>
      <c r="F248" s="65"/>
      <c r="G248" s="65"/>
      <c r="H248" s="65"/>
      <c r="I248" s="65"/>
      <c r="J248" s="65"/>
    </row>
    <row r="249" ht="15.75" customHeight="1">
      <c r="A249" s="65"/>
      <c r="B249" s="59"/>
      <c r="C249" s="65"/>
      <c r="D249" s="59"/>
      <c r="E249" s="65"/>
      <c r="F249" s="65"/>
      <c r="G249" s="65"/>
      <c r="H249" s="65"/>
      <c r="I249" s="65"/>
      <c r="J249" s="65"/>
    </row>
    <row r="250" ht="15.75" customHeight="1">
      <c r="A250" s="65"/>
      <c r="B250" s="59"/>
      <c r="C250" s="65"/>
      <c r="D250" s="59"/>
      <c r="E250" s="65"/>
      <c r="F250" s="65"/>
      <c r="G250" s="65"/>
      <c r="H250" s="65"/>
      <c r="I250" s="65"/>
      <c r="J250" s="65"/>
    </row>
    <row r="251" ht="15.75" customHeight="1">
      <c r="A251" s="65"/>
      <c r="B251" s="59"/>
      <c r="C251" s="65"/>
      <c r="D251" s="59"/>
      <c r="E251" s="65"/>
      <c r="F251" s="65"/>
      <c r="G251" s="65"/>
      <c r="H251" s="65"/>
      <c r="I251" s="65"/>
      <c r="J251" s="65"/>
    </row>
    <row r="252" ht="15.75" customHeight="1">
      <c r="A252" s="65"/>
      <c r="B252" s="59"/>
      <c r="C252" s="65"/>
      <c r="D252" s="59"/>
      <c r="E252" s="65"/>
      <c r="F252" s="65"/>
      <c r="G252" s="65"/>
      <c r="H252" s="65"/>
      <c r="I252" s="65"/>
      <c r="J252" s="65"/>
    </row>
    <row r="253" ht="15.75" customHeight="1">
      <c r="A253" s="65"/>
      <c r="B253" s="59"/>
      <c r="C253" s="65"/>
      <c r="D253" s="59"/>
      <c r="E253" s="65"/>
      <c r="F253" s="65"/>
      <c r="G253" s="65"/>
      <c r="H253" s="65"/>
      <c r="I253" s="65"/>
      <c r="J253" s="65"/>
    </row>
    <row r="254" ht="15.75" customHeight="1">
      <c r="A254" s="65"/>
      <c r="B254" s="59"/>
      <c r="C254" s="65"/>
      <c r="D254" s="59"/>
      <c r="E254" s="65"/>
      <c r="F254" s="65"/>
      <c r="G254" s="65"/>
      <c r="H254" s="65"/>
      <c r="I254" s="65"/>
      <c r="J254" s="65"/>
    </row>
    <row r="255" ht="15.75" customHeight="1">
      <c r="A255" s="65"/>
      <c r="B255" s="59"/>
      <c r="C255" s="65"/>
      <c r="D255" s="59"/>
      <c r="E255" s="65"/>
      <c r="F255" s="65"/>
      <c r="G255" s="65"/>
      <c r="H255" s="65"/>
      <c r="I255" s="65"/>
      <c r="J255" s="65"/>
    </row>
    <row r="256" ht="15.75" customHeight="1">
      <c r="A256" s="65"/>
      <c r="B256" s="59"/>
      <c r="C256" s="65"/>
      <c r="D256" s="59"/>
      <c r="E256" s="65"/>
      <c r="F256" s="65"/>
      <c r="G256" s="65"/>
      <c r="H256" s="65"/>
      <c r="I256" s="65"/>
      <c r="J256" s="65"/>
    </row>
    <row r="257" ht="15.75" customHeight="1">
      <c r="A257" s="65"/>
      <c r="B257" s="59"/>
      <c r="C257" s="65"/>
      <c r="D257" s="211"/>
    </row>
    <row r="258" ht="15.75" customHeight="1">
      <c r="A258" s="65"/>
      <c r="B258" s="59"/>
      <c r="C258" s="65"/>
      <c r="D258" s="211"/>
    </row>
    <row r="259" ht="15.75" customHeight="1">
      <c r="A259" s="65"/>
      <c r="B259" s="59"/>
      <c r="C259" s="65"/>
      <c r="D259" s="211"/>
    </row>
    <row r="260" ht="15.75" customHeight="1">
      <c r="A260" s="127"/>
      <c r="B260" s="211"/>
      <c r="D260" s="211"/>
    </row>
    <row r="261" ht="15.75" customHeight="1">
      <c r="A261" s="127"/>
      <c r="B261" s="211"/>
      <c r="D261" s="211"/>
    </row>
    <row r="262" ht="15.75" customHeight="1">
      <c r="A262" s="127"/>
      <c r="B262" s="211"/>
      <c r="D262" s="211"/>
    </row>
    <row r="263" ht="15.75" customHeight="1">
      <c r="A263" s="127"/>
      <c r="B263" s="211"/>
      <c r="D263" s="211"/>
    </row>
    <row r="264" ht="15.75" customHeight="1">
      <c r="A264" s="127"/>
      <c r="B264" s="211"/>
      <c r="D264" s="211"/>
    </row>
    <row r="265" ht="15.75" customHeight="1">
      <c r="A265" s="127"/>
      <c r="B265" s="211"/>
      <c r="D265" s="211"/>
    </row>
    <row r="266" ht="15.75" customHeight="1">
      <c r="A266" s="127"/>
      <c r="B266" s="211"/>
      <c r="D266" s="211"/>
    </row>
    <row r="267" ht="15.75" customHeight="1">
      <c r="A267" s="127"/>
      <c r="B267" s="211"/>
      <c r="D267" s="211"/>
    </row>
    <row r="268" ht="15.75" customHeight="1">
      <c r="A268" s="127"/>
      <c r="B268" s="211"/>
      <c r="D268" s="211"/>
    </row>
    <row r="269" ht="15.75" customHeight="1">
      <c r="A269" s="127"/>
      <c r="B269" s="211"/>
      <c r="D269" s="211"/>
    </row>
    <row r="270" ht="15.75" customHeight="1">
      <c r="A270" s="127"/>
      <c r="B270" s="211"/>
      <c r="D270" s="211"/>
    </row>
    <row r="271" ht="15.75" customHeight="1">
      <c r="A271" s="127"/>
      <c r="B271" s="211"/>
      <c r="D271" s="211"/>
    </row>
    <row r="272" ht="15.75" customHeight="1">
      <c r="A272" s="127"/>
      <c r="B272" s="211"/>
      <c r="D272" s="211"/>
    </row>
    <row r="273" ht="15.75" customHeight="1">
      <c r="A273" s="127"/>
      <c r="B273" s="211"/>
      <c r="D273" s="211"/>
    </row>
    <row r="274" ht="15.75" customHeight="1">
      <c r="A274" s="127"/>
      <c r="B274" s="211"/>
      <c r="D274" s="211"/>
    </row>
    <row r="275" ht="15.75" customHeight="1">
      <c r="A275" s="127"/>
      <c r="B275" s="211"/>
      <c r="D275" s="211"/>
    </row>
    <row r="276" ht="15.75" customHeight="1">
      <c r="A276" s="127"/>
      <c r="B276" s="211"/>
      <c r="D276" s="211"/>
    </row>
    <row r="277" ht="15.75" customHeight="1">
      <c r="A277" s="127"/>
      <c r="B277" s="211"/>
      <c r="D277" s="211"/>
    </row>
    <row r="278" ht="15.75" customHeight="1">
      <c r="A278" s="127"/>
      <c r="B278" s="211"/>
      <c r="D278" s="211"/>
    </row>
    <row r="279" ht="15.75" customHeight="1">
      <c r="A279" s="127"/>
      <c r="B279" s="211"/>
      <c r="D279" s="211"/>
    </row>
    <row r="280" ht="15.75" customHeight="1">
      <c r="A280" s="127"/>
      <c r="B280" s="211"/>
      <c r="D280" s="211"/>
    </row>
    <row r="281" ht="15.75" customHeight="1">
      <c r="A281" s="127"/>
      <c r="B281" s="211"/>
      <c r="D281" s="211"/>
    </row>
    <row r="282" ht="15.75" customHeight="1">
      <c r="A282" s="127"/>
      <c r="B282" s="211"/>
      <c r="D282" s="211"/>
    </row>
    <row r="283" ht="15.75" customHeight="1">
      <c r="A283" s="127"/>
      <c r="B283" s="211"/>
      <c r="D283" s="211"/>
    </row>
    <row r="284" ht="15.75" customHeight="1">
      <c r="A284" s="127"/>
      <c r="B284" s="211"/>
      <c r="D284" s="211"/>
    </row>
    <row r="285" ht="15.75" customHeight="1">
      <c r="A285" s="127"/>
      <c r="B285" s="211"/>
      <c r="D285" s="211"/>
    </row>
    <row r="286" ht="15.75" customHeight="1">
      <c r="A286" s="127"/>
      <c r="B286" s="211"/>
      <c r="D286" s="211"/>
    </row>
    <row r="287" ht="15.75" customHeight="1">
      <c r="A287" s="127"/>
      <c r="B287" s="211"/>
      <c r="D287" s="211"/>
    </row>
    <row r="288" ht="15.75" customHeight="1">
      <c r="A288" s="127"/>
      <c r="B288" s="211"/>
      <c r="D288" s="211"/>
    </row>
    <row r="289" ht="15.75" customHeight="1">
      <c r="A289" s="127"/>
      <c r="B289" s="211"/>
      <c r="D289" s="211"/>
    </row>
    <row r="290" ht="15.75" customHeight="1">
      <c r="A290" s="127"/>
      <c r="B290" s="211"/>
      <c r="D290" s="211"/>
    </row>
    <row r="291" ht="15.75" customHeight="1">
      <c r="A291" s="127"/>
      <c r="B291" s="211"/>
      <c r="D291" s="211"/>
    </row>
    <row r="292" ht="15.75" customHeight="1">
      <c r="A292" s="127"/>
      <c r="B292" s="211"/>
      <c r="D292" s="211"/>
    </row>
    <row r="293" ht="15.75" customHeight="1">
      <c r="A293" s="127"/>
      <c r="B293" s="211"/>
      <c r="D293" s="211"/>
    </row>
    <row r="294" ht="15.75" customHeight="1">
      <c r="A294" s="127"/>
      <c r="B294" s="211"/>
      <c r="D294" s="211"/>
    </row>
    <row r="295" ht="15.75" customHeight="1">
      <c r="A295" s="127"/>
      <c r="B295" s="211"/>
      <c r="D295" s="211"/>
    </row>
    <row r="296" ht="15.75" customHeight="1">
      <c r="A296" s="127"/>
      <c r="B296" s="211"/>
      <c r="D296" s="211"/>
    </row>
    <row r="297" ht="15.75" customHeight="1">
      <c r="A297" s="127"/>
      <c r="B297" s="211"/>
      <c r="D297" s="211"/>
    </row>
    <row r="298" ht="15.75" customHeight="1">
      <c r="A298" s="127"/>
      <c r="B298" s="211"/>
      <c r="D298" s="211"/>
    </row>
    <row r="299" ht="15.75" customHeight="1">
      <c r="A299" s="127"/>
      <c r="B299" s="211"/>
      <c r="D299" s="211"/>
    </row>
    <row r="300" ht="15.75" customHeight="1">
      <c r="A300" s="127"/>
      <c r="B300" s="211"/>
      <c r="D300" s="211"/>
    </row>
    <row r="301" ht="15.75" customHeight="1">
      <c r="A301" s="127"/>
      <c r="B301" s="211"/>
      <c r="D301" s="211"/>
    </row>
    <row r="302" ht="15.75" customHeight="1">
      <c r="A302" s="127"/>
      <c r="B302" s="211"/>
      <c r="D302" s="211"/>
    </row>
    <row r="303" ht="15.75" customHeight="1">
      <c r="A303" s="127"/>
      <c r="B303" s="211"/>
      <c r="D303" s="211"/>
    </row>
    <row r="304" ht="15.75" customHeight="1">
      <c r="A304" s="127"/>
      <c r="B304" s="211"/>
      <c r="D304" s="211"/>
    </row>
    <row r="305" ht="15.75" customHeight="1">
      <c r="A305" s="127"/>
      <c r="B305" s="211"/>
      <c r="D305" s="211"/>
    </row>
    <row r="306" ht="15.75" customHeight="1">
      <c r="A306" s="127"/>
      <c r="B306" s="211"/>
      <c r="D306" s="211"/>
    </row>
    <row r="307" ht="15.75" customHeight="1">
      <c r="A307" s="127"/>
      <c r="B307" s="211"/>
      <c r="D307" s="211"/>
    </row>
    <row r="308" ht="15.75" customHeight="1">
      <c r="A308" s="127"/>
      <c r="B308" s="211"/>
      <c r="D308" s="211"/>
    </row>
    <row r="309" ht="15.75" customHeight="1">
      <c r="A309" s="127"/>
      <c r="B309" s="211"/>
      <c r="D309" s="211"/>
    </row>
    <row r="310" ht="15.75" customHeight="1">
      <c r="A310" s="127"/>
      <c r="B310" s="211"/>
      <c r="D310" s="211"/>
    </row>
    <row r="311" ht="15.75" customHeight="1">
      <c r="A311" s="127"/>
      <c r="B311" s="211"/>
      <c r="D311" s="211"/>
    </row>
    <row r="312" ht="15.75" customHeight="1">
      <c r="A312" s="127"/>
      <c r="B312" s="211"/>
      <c r="D312" s="211"/>
    </row>
    <row r="313" ht="15.75" customHeight="1">
      <c r="A313" s="127"/>
      <c r="B313" s="211"/>
      <c r="D313" s="211"/>
    </row>
    <row r="314" ht="15.75" customHeight="1">
      <c r="A314" s="127"/>
      <c r="B314" s="211"/>
      <c r="D314" s="211"/>
    </row>
    <row r="315" ht="15.75" customHeight="1">
      <c r="A315" s="127"/>
      <c r="B315" s="211"/>
      <c r="D315" s="211"/>
    </row>
    <row r="316" ht="15.75" customHeight="1">
      <c r="A316" s="127"/>
      <c r="B316" s="211"/>
      <c r="D316" s="211"/>
    </row>
    <row r="317" ht="15.75" customHeight="1">
      <c r="A317" s="127"/>
      <c r="B317" s="211"/>
      <c r="D317" s="211"/>
    </row>
    <row r="318" ht="15.75" customHeight="1">
      <c r="A318" s="127"/>
      <c r="B318" s="211"/>
      <c r="D318" s="211"/>
    </row>
    <row r="319" ht="15.75" customHeight="1">
      <c r="A319" s="127"/>
      <c r="B319" s="211"/>
      <c r="D319" s="211"/>
    </row>
    <row r="320" ht="15.75" customHeight="1">
      <c r="A320" s="127"/>
      <c r="B320" s="211"/>
      <c r="D320" s="211"/>
    </row>
    <row r="321" ht="15.75" customHeight="1">
      <c r="A321" s="127"/>
      <c r="B321" s="211"/>
      <c r="D321" s="211"/>
    </row>
    <row r="322" ht="15.75" customHeight="1">
      <c r="A322" s="127"/>
      <c r="B322" s="211"/>
      <c r="D322" s="211"/>
    </row>
    <row r="323" ht="15.75" customHeight="1">
      <c r="A323" s="127"/>
      <c r="B323" s="211"/>
      <c r="D323" s="211"/>
    </row>
    <row r="324" ht="15.75" customHeight="1">
      <c r="A324" s="127"/>
      <c r="B324" s="211"/>
      <c r="D324" s="211"/>
    </row>
    <row r="325" ht="15.75" customHeight="1">
      <c r="A325" s="127"/>
      <c r="B325" s="211"/>
      <c r="D325" s="211"/>
    </row>
    <row r="326" ht="15.75" customHeight="1">
      <c r="A326" s="127"/>
      <c r="B326" s="211"/>
      <c r="D326" s="211"/>
    </row>
    <row r="327" ht="15.75" customHeight="1">
      <c r="A327" s="127"/>
      <c r="B327" s="211"/>
      <c r="D327" s="211"/>
    </row>
    <row r="328" ht="15.75" customHeight="1">
      <c r="A328" s="127"/>
      <c r="B328" s="211"/>
      <c r="D328" s="211"/>
    </row>
    <row r="329" ht="15.75" customHeight="1">
      <c r="A329" s="127"/>
      <c r="B329" s="211"/>
      <c r="D329" s="211"/>
    </row>
    <row r="330" ht="15.75" customHeight="1">
      <c r="A330" s="127"/>
      <c r="B330" s="211"/>
      <c r="D330" s="211"/>
    </row>
    <row r="331" ht="15.75" customHeight="1">
      <c r="A331" s="127"/>
      <c r="B331" s="211"/>
      <c r="D331" s="211"/>
    </row>
    <row r="332" ht="15.75" customHeight="1">
      <c r="A332" s="127"/>
      <c r="B332" s="211"/>
      <c r="D332" s="211"/>
    </row>
    <row r="333" ht="15.75" customHeight="1">
      <c r="A333" s="127"/>
      <c r="B333" s="211"/>
      <c r="D333" s="211"/>
    </row>
    <row r="334" ht="15.75" customHeight="1">
      <c r="A334" s="127"/>
      <c r="B334" s="211"/>
      <c r="D334" s="211"/>
    </row>
    <row r="335" ht="15.75" customHeight="1">
      <c r="A335" s="127"/>
      <c r="B335" s="211"/>
      <c r="D335" s="211"/>
    </row>
    <row r="336" ht="15.75" customHeight="1">
      <c r="A336" s="127"/>
      <c r="B336" s="211"/>
      <c r="D336" s="211"/>
    </row>
    <row r="337" ht="15.75" customHeight="1">
      <c r="A337" s="127"/>
      <c r="B337" s="211"/>
      <c r="D337" s="211"/>
    </row>
    <row r="338" ht="15.75" customHeight="1">
      <c r="A338" s="127"/>
      <c r="B338" s="211"/>
      <c r="D338" s="211"/>
    </row>
    <row r="339" ht="15.75" customHeight="1">
      <c r="A339" s="127"/>
      <c r="B339" s="211"/>
      <c r="D339" s="211"/>
    </row>
    <row r="340" ht="15.75" customHeight="1">
      <c r="A340" s="127"/>
      <c r="B340" s="211"/>
      <c r="D340" s="211"/>
    </row>
    <row r="341" ht="15.75" customHeight="1">
      <c r="A341" s="127"/>
      <c r="B341" s="211"/>
      <c r="D341" s="211"/>
    </row>
    <row r="342" ht="15.75" customHeight="1">
      <c r="A342" s="127"/>
      <c r="B342" s="211"/>
      <c r="D342" s="211"/>
    </row>
    <row r="343" ht="15.75" customHeight="1">
      <c r="A343" s="127"/>
      <c r="B343" s="211"/>
      <c r="D343" s="211"/>
    </row>
    <row r="344" ht="15.75" customHeight="1">
      <c r="A344" s="127"/>
      <c r="B344" s="211"/>
      <c r="D344" s="211"/>
    </row>
    <row r="345" ht="15.75" customHeight="1">
      <c r="A345" s="127"/>
      <c r="B345" s="211"/>
      <c r="D345" s="211"/>
    </row>
    <row r="346" ht="15.75" customHeight="1">
      <c r="A346" s="127"/>
      <c r="B346" s="211"/>
      <c r="D346" s="211"/>
    </row>
    <row r="347" ht="15.75" customHeight="1">
      <c r="A347" s="127"/>
      <c r="B347" s="211"/>
      <c r="D347" s="211"/>
    </row>
    <row r="348" ht="15.75" customHeight="1">
      <c r="A348" s="127"/>
      <c r="B348" s="211"/>
      <c r="D348" s="211"/>
    </row>
    <row r="349" ht="15.75" customHeight="1">
      <c r="A349" s="127"/>
      <c r="B349" s="211"/>
      <c r="D349" s="211"/>
    </row>
    <row r="350" ht="15.75" customHeight="1">
      <c r="A350" s="127"/>
      <c r="B350" s="211"/>
      <c r="D350" s="211"/>
    </row>
    <row r="351" ht="15.75" customHeight="1">
      <c r="A351" s="127"/>
      <c r="B351" s="211"/>
      <c r="D351" s="211"/>
    </row>
    <row r="352" ht="15.75" customHeight="1">
      <c r="A352" s="127"/>
      <c r="B352" s="211"/>
      <c r="D352" s="211"/>
    </row>
    <row r="353" ht="15.75" customHeight="1">
      <c r="A353" s="127"/>
      <c r="B353" s="211"/>
      <c r="D353" s="211"/>
    </row>
    <row r="354" ht="15.75" customHeight="1">
      <c r="A354" s="127"/>
      <c r="B354" s="211"/>
      <c r="D354" s="211"/>
    </row>
    <row r="355" ht="15.75" customHeight="1">
      <c r="A355" s="127"/>
      <c r="B355" s="211"/>
      <c r="D355" s="211"/>
    </row>
    <row r="356" ht="15.75" customHeight="1">
      <c r="A356" s="127"/>
      <c r="B356" s="211"/>
      <c r="D356" s="211"/>
    </row>
    <row r="357" ht="15.75" customHeight="1">
      <c r="A357" s="127"/>
      <c r="B357" s="211"/>
      <c r="D357" s="211"/>
    </row>
    <row r="358" ht="15.75" customHeight="1">
      <c r="A358" s="127"/>
      <c r="B358" s="211"/>
      <c r="D358" s="211"/>
    </row>
    <row r="359" ht="15.75" customHeight="1">
      <c r="A359" s="127"/>
      <c r="B359" s="211"/>
      <c r="D359" s="211"/>
    </row>
    <row r="360" ht="15.75" customHeight="1">
      <c r="A360" s="127"/>
      <c r="B360" s="211"/>
      <c r="D360" s="211"/>
    </row>
    <row r="361" ht="15.75" customHeight="1">
      <c r="A361" s="127"/>
      <c r="B361" s="211"/>
      <c r="D361" s="211"/>
    </row>
    <row r="362" ht="15.75" customHeight="1">
      <c r="A362" s="127"/>
      <c r="B362" s="211"/>
      <c r="D362" s="211"/>
    </row>
    <row r="363" ht="15.75" customHeight="1">
      <c r="A363" s="127"/>
      <c r="B363" s="211"/>
      <c r="D363" s="211"/>
    </row>
    <row r="364" ht="15.75" customHeight="1">
      <c r="A364" s="127"/>
      <c r="B364" s="211"/>
      <c r="D364" s="211"/>
    </row>
    <row r="365" ht="15.75" customHeight="1">
      <c r="A365" s="127"/>
      <c r="B365" s="211"/>
      <c r="D365" s="211"/>
    </row>
    <row r="366" ht="15.75" customHeight="1">
      <c r="A366" s="127"/>
      <c r="B366" s="211"/>
      <c r="D366" s="211"/>
    </row>
    <row r="367" ht="15.75" customHeight="1">
      <c r="A367" s="127"/>
      <c r="B367" s="211"/>
      <c r="D367" s="211"/>
    </row>
    <row r="368" ht="15.75" customHeight="1">
      <c r="A368" s="127"/>
      <c r="B368" s="211"/>
      <c r="D368" s="211"/>
    </row>
    <row r="369" ht="15.75" customHeight="1">
      <c r="A369" s="127"/>
      <c r="B369" s="211"/>
      <c r="D369" s="211"/>
    </row>
    <row r="370" ht="15.75" customHeight="1">
      <c r="A370" s="127"/>
      <c r="B370" s="211"/>
      <c r="D370" s="211"/>
    </row>
    <row r="371" ht="15.75" customHeight="1">
      <c r="A371" s="127"/>
      <c r="B371" s="211"/>
      <c r="D371" s="211"/>
    </row>
    <row r="372" ht="15.75" customHeight="1">
      <c r="A372" s="127"/>
      <c r="B372" s="211"/>
      <c r="D372" s="211"/>
    </row>
    <row r="373" ht="15.75" customHeight="1">
      <c r="A373" s="127"/>
      <c r="B373" s="211"/>
      <c r="D373" s="211"/>
    </row>
    <row r="374" ht="15.75" customHeight="1">
      <c r="A374" s="127"/>
      <c r="B374" s="211"/>
      <c r="D374" s="211"/>
    </row>
    <row r="375" ht="15.75" customHeight="1">
      <c r="A375" s="127"/>
      <c r="B375" s="211"/>
      <c r="D375" s="211"/>
    </row>
    <row r="376" ht="15.75" customHeight="1">
      <c r="A376" s="127"/>
      <c r="B376" s="211"/>
      <c r="D376" s="211"/>
    </row>
    <row r="377" ht="15.75" customHeight="1">
      <c r="A377" s="127"/>
      <c r="B377" s="211"/>
      <c r="D377" s="211"/>
    </row>
    <row r="378" ht="15.75" customHeight="1">
      <c r="A378" s="127"/>
      <c r="B378" s="211"/>
      <c r="D378" s="211"/>
    </row>
    <row r="379" ht="15.75" customHeight="1">
      <c r="A379" s="127"/>
      <c r="B379" s="211"/>
      <c r="D379" s="211"/>
    </row>
    <row r="380" ht="15.75" customHeight="1">
      <c r="A380" s="127"/>
      <c r="B380" s="211"/>
      <c r="D380" s="211"/>
    </row>
    <row r="381" ht="15.75" customHeight="1">
      <c r="A381" s="127"/>
      <c r="B381" s="211"/>
      <c r="D381" s="211"/>
    </row>
    <row r="382" ht="15.75" customHeight="1">
      <c r="A382" s="127"/>
      <c r="B382" s="211"/>
      <c r="D382" s="211"/>
    </row>
    <row r="383" ht="15.75" customHeight="1">
      <c r="A383" s="127"/>
      <c r="B383" s="211"/>
      <c r="D383" s="211"/>
    </row>
    <row r="384" ht="15.75" customHeight="1">
      <c r="A384" s="127"/>
      <c r="B384" s="211"/>
      <c r="D384" s="211"/>
    </row>
    <row r="385" ht="15.75" customHeight="1">
      <c r="A385" s="127"/>
      <c r="B385" s="211"/>
      <c r="D385" s="211"/>
    </row>
    <row r="386" ht="15.75" customHeight="1">
      <c r="A386" s="127"/>
      <c r="B386" s="211"/>
      <c r="D386" s="211"/>
    </row>
    <row r="387" ht="15.75" customHeight="1">
      <c r="A387" s="127"/>
      <c r="B387" s="211"/>
      <c r="D387" s="211"/>
    </row>
    <row r="388" ht="15.75" customHeight="1">
      <c r="A388" s="127"/>
      <c r="B388" s="211"/>
      <c r="D388" s="211"/>
    </row>
    <row r="389" ht="15.75" customHeight="1">
      <c r="A389" s="127"/>
      <c r="B389" s="211"/>
      <c r="D389" s="211"/>
    </row>
    <row r="390" ht="15.75" customHeight="1">
      <c r="A390" s="127"/>
      <c r="B390" s="211"/>
      <c r="D390" s="211"/>
    </row>
    <row r="391" ht="15.75" customHeight="1">
      <c r="A391" s="127"/>
      <c r="B391" s="211"/>
      <c r="D391" s="211"/>
    </row>
    <row r="392" ht="15.75" customHeight="1">
      <c r="A392" s="127"/>
      <c r="B392" s="211"/>
      <c r="D392" s="211"/>
    </row>
    <row r="393" ht="15.75" customHeight="1">
      <c r="A393" s="127"/>
      <c r="B393" s="211"/>
      <c r="D393" s="211"/>
    </row>
    <row r="394" ht="15.75" customHeight="1">
      <c r="A394" s="127"/>
      <c r="B394" s="211"/>
      <c r="D394" s="211"/>
    </row>
    <row r="395" ht="15.75" customHeight="1">
      <c r="A395" s="127"/>
      <c r="B395" s="211"/>
      <c r="D395" s="211"/>
    </row>
    <row r="396" ht="15.75" customHeight="1">
      <c r="A396" s="127"/>
      <c r="B396" s="211"/>
      <c r="D396" s="211"/>
    </row>
    <row r="397" ht="15.75" customHeight="1">
      <c r="A397" s="127"/>
      <c r="B397" s="211"/>
      <c r="D397" s="211"/>
    </row>
    <row r="398" ht="15.75" customHeight="1">
      <c r="A398" s="127"/>
      <c r="B398" s="211"/>
      <c r="D398" s="211"/>
    </row>
    <row r="399" ht="15.75" customHeight="1">
      <c r="A399" s="127"/>
      <c r="B399" s="211"/>
      <c r="D399" s="211"/>
    </row>
    <row r="400" ht="15.75" customHeight="1">
      <c r="A400" s="127"/>
      <c r="B400" s="211"/>
      <c r="D400" s="211"/>
    </row>
    <row r="401" ht="15.75" customHeight="1">
      <c r="A401" s="127"/>
      <c r="B401" s="211"/>
      <c r="D401" s="211"/>
    </row>
    <row r="402" ht="15.75" customHeight="1">
      <c r="A402" s="127"/>
      <c r="B402" s="211"/>
      <c r="D402" s="211"/>
    </row>
    <row r="403" ht="15.75" customHeight="1">
      <c r="A403" s="127"/>
      <c r="B403" s="211"/>
      <c r="D403" s="211"/>
    </row>
    <row r="404" ht="15.75" customHeight="1">
      <c r="A404" s="127"/>
      <c r="B404" s="211"/>
      <c r="D404" s="211"/>
    </row>
    <row r="405" ht="15.75" customHeight="1">
      <c r="A405" s="127"/>
      <c r="B405" s="211"/>
      <c r="D405" s="211"/>
    </row>
    <row r="406" ht="15.75" customHeight="1">
      <c r="A406" s="127"/>
      <c r="B406" s="211"/>
      <c r="D406" s="211"/>
    </row>
    <row r="407" ht="15.75" customHeight="1">
      <c r="A407" s="127"/>
      <c r="B407" s="211"/>
      <c r="D407" s="211"/>
    </row>
    <row r="408" ht="15.75" customHeight="1">
      <c r="A408" s="127"/>
      <c r="B408" s="211"/>
      <c r="D408" s="211"/>
    </row>
    <row r="409" ht="15.75" customHeight="1">
      <c r="A409" s="127"/>
      <c r="B409" s="211"/>
      <c r="D409" s="211"/>
    </row>
    <row r="410" ht="15.75" customHeight="1">
      <c r="A410" s="127"/>
      <c r="B410" s="211"/>
      <c r="D410" s="211"/>
    </row>
    <row r="411" ht="15.75" customHeight="1">
      <c r="A411" s="127"/>
      <c r="B411" s="211"/>
      <c r="D411" s="211"/>
    </row>
    <row r="412" ht="15.75" customHeight="1">
      <c r="A412" s="127"/>
      <c r="B412" s="211"/>
      <c r="D412" s="211"/>
    </row>
    <row r="413" ht="15.75" customHeight="1">
      <c r="A413" s="127"/>
      <c r="B413" s="211"/>
      <c r="D413" s="211"/>
    </row>
    <row r="414" ht="15.75" customHeight="1">
      <c r="A414" s="127"/>
      <c r="B414" s="211"/>
      <c r="D414" s="211"/>
    </row>
    <row r="415" ht="15.75" customHeight="1">
      <c r="A415" s="127"/>
      <c r="B415" s="211"/>
      <c r="D415" s="211"/>
    </row>
    <row r="416" ht="15.75" customHeight="1">
      <c r="A416" s="127"/>
      <c r="B416" s="211"/>
      <c r="D416" s="211"/>
    </row>
    <row r="417" ht="15.75" customHeight="1">
      <c r="A417" s="127"/>
      <c r="B417" s="211"/>
      <c r="D417" s="211"/>
    </row>
    <row r="418" ht="15.75" customHeight="1">
      <c r="A418" s="127"/>
      <c r="B418" s="211"/>
      <c r="D418" s="211"/>
    </row>
    <row r="419" ht="15.75" customHeight="1">
      <c r="A419" s="127"/>
      <c r="B419" s="211"/>
      <c r="D419" s="211"/>
    </row>
    <row r="420" ht="15.75" customHeight="1">
      <c r="A420" s="127"/>
      <c r="B420" s="211"/>
      <c r="D420" s="211"/>
    </row>
    <row r="421" ht="15.75" customHeight="1">
      <c r="A421" s="127"/>
      <c r="B421" s="211"/>
      <c r="D421" s="211"/>
    </row>
    <row r="422" ht="15.75" customHeight="1">
      <c r="A422" s="127"/>
      <c r="B422" s="211"/>
      <c r="D422" s="211"/>
    </row>
    <row r="423" ht="15.75" customHeight="1">
      <c r="A423" s="127"/>
      <c r="B423" s="211"/>
      <c r="D423" s="211"/>
    </row>
    <row r="424" ht="15.75" customHeight="1">
      <c r="A424" s="127"/>
      <c r="B424" s="211"/>
      <c r="D424" s="211"/>
    </row>
    <row r="425" ht="15.75" customHeight="1">
      <c r="A425" s="127"/>
      <c r="B425" s="211"/>
      <c r="D425" s="211"/>
    </row>
    <row r="426" ht="15.75" customHeight="1">
      <c r="A426" s="127"/>
      <c r="B426" s="211"/>
      <c r="D426" s="211"/>
    </row>
    <row r="427" ht="15.75" customHeight="1">
      <c r="A427" s="127"/>
      <c r="B427" s="211"/>
      <c r="D427" s="211"/>
    </row>
    <row r="428" ht="15.75" customHeight="1">
      <c r="A428" s="127"/>
      <c r="B428" s="211"/>
      <c r="D428" s="211"/>
    </row>
    <row r="429" ht="15.75" customHeight="1">
      <c r="A429" s="127"/>
      <c r="B429" s="211"/>
      <c r="D429" s="211"/>
    </row>
    <row r="430" ht="15.75" customHeight="1">
      <c r="A430" s="127"/>
      <c r="B430" s="211"/>
      <c r="D430" s="211"/>
    </row>
    <row r="431" ht="15.75" customHeight="1">
      <c r="A431" s="127"/>
      <c r="B431" s="211"/>
      <c r="D431" s="211"/>
    </row>
    <row r="432" ht="15.75" customHeight="1">
      <c r="A432" s="127"/>
      <c r="B432" s="211"/>
      <c r="D432" s="211"/>
    </row>
    <row r="433" ht="15.75" customHeight="1">
      <c r="A433" s="127"/>
      <c r="B433" s="211"/>
      <c r="D433" s="211"/>
    </row>
    <row r="434" ht="15.75" customHeight="1">
      <c r="A434" s="127"/>
      <c r="B434" s="211"/>
      <c r="D434" s="211"/>
    </row>
    <row r="435" ht="15.75" customHeight="1">
      <c r="A435" s="127"/>
      <c r="B435" s="211"/>
      <c r="D435" s="211"/>
    </row>
    <row r="436" ht="15.75" customHeight="1">
      <c r="A436" s="127"/>
      <c r="B436" s="211"/>
      <c r="D436" s="211"/>
    </row>
    <row r="437" ht="15.75" customHeight="1">
      <c r="A437" s="127"/>
      <c r="B437" s="211"/>
      <c r="D437" s="211"/>
    </row>
    <row r="438" ht="15.75" customHeight="1">
      <c r="A438" s="127"/>
      <c r="B438" s="211"/>
      <c r="D438" s="211"/>
    </row>
    <row r="439" ht="15.75" customHeight="1">
      <c r="A439" s="127"/>
      <c r="B439" s="211"/>
      <c r="D439" s="211"/>
    </row>
    <row r="440" ht="15.75" customHeight="1">
      <c r="A440" s="127"/>
      <c r="B440" s="211"/>
      <c r="D440" s="211"/>
    </row>
    <row r="441" ht="15.75" customHeight="1">
      <c r="A441" s="127"/>
      <c r="B441" s="211"/>
      <c r="D441" s="211"/>
    </row>
    <row r="442" ht="15.75" customHeight="1">
      <c r="A442" s="127"/>
      <c r="B442" s="211"/>
      <c r="D442" s="211"/>
    </row>
    <row r="443" ht="15.75" customHeight="1">
      <c r="A443" s="127"/>
      <c r="B443" s="211"/>
      <c r="D443" s="211"/>
    </row>
    <row r="444" ht="15.75" customHeight="1">
      <c r="A444" s="127"/>
      <c r="B444" s="211"/>
      <c r="D444" s="211"/>
    </row>
    <row r="445" ht="15.75" customHeight="1">
      <c r="A445" s="127"/>
      <c r="B445" s="211"/>
      <c r="D445" s="211"/>
    </row>
    <row r="446" ht="15.75" customHeight="1">
      <c r="A446" s="127"/>
      <c r="B446" s="211"/>
      <c r="D446" s="211"/>
    </row>
    <row r="447" ht="15.75" customHeight="1">
      <c r="A447" s="127"/>
      <c r="B447" s="211"/>
      <c r="D447" s="211"/>
    </row>
    <row r="448" ht="15.75" customHeight="1">
      <c r="A448" s="127"/>
      <c r="B448" s="211"/>
      <c r="D448" s="211"/>
    </row>
    <row r="449" ht="15.75" customHeight="1">
      <c r="A449" s="127"/>
      <c r="B449" s="211"/>
      <c r="D449" s="211"/>
    </row>
    <row r="450" ht="15.75" customHeight="1">
      <c r="A450" s="127"/>
      <c r="B450" s="211"/>
      <c r="D450" s="211"/>
    </row>
    <row r="451" ht="15.75" customHeight="1">
      <c r="A451" s="127"/>
      <c r="B451" s="211"/>
      <c r="D451" s="211"/>
    </row>
    <row r="452" ht="15.75" customHeight="1">
      <c r="A452" s="127"/>
      <c r="B452" s="211"/>
      <c r="D452" s="211"/>
    </row>
    <row r="453" ht="15.75" customHeight="1">
      <c r="A453" s="127"/>
      <c r="B453" s="211"/>
      <c r="D453" s="211"/>
    </row>
    <row r="454" ht="15.75" customHeight="1">
      <c r="A454" s="127"/>
      <c r="B454" s="211"/>
      <c r="D454" s="211"/>
    </row>
    <row r="455" ht="15.75" customHeight="1">
      <c r="A455" s="127"/>
      <c r="B455" s="211"/>
      <c r="D455" s="211"/>
    </row>
    <row r="456" ht="15.75" customHeight="1">
      <c r="A456" s="127"/>
      <c r="B456" s="211"/>
      <c r="D456" s="211"/>
    </row>
    <row r="457" ht="15.75" customHeight="1">
      <c r="A457" s="127"/>
      <c r="B457" s="211"/>
      <c r="D457" s="211"/>
    </row>
    <row r="458" ht="15.75" customHeight="1">
      <c r="A458" s="127"/>
      <c r="B458" s="211"/>
      <c r="D458" s="211"/>
    </row>
    <row r="459" ht="15.75" customHeight="1">
      <c r="A459" s="127"/>
      <c r="B459" s="211"/>
      <c r="D459" s="211"/>
    </row>
    <row r="460" ht="15.75" customHeight="1">
      <c r="A460" s="127"/>
      <c r="B460" s="211"/>
      <c r="D460" s="211"/>
    </row>
    <row r="461" ht="15.75" customHeight="1">
      <c r="A461" s="127"/>
      <c r="B461" s="211"/>
      <c r="D461" s="211"/>
    </row>
    <row r="462" ht="15.75" customHeight="1">
      <c r="A462" s="127"/>
      <c r="B462" s="211"/>
      <c r="D462" s="211"/>
    </row>
    <row r="463" ht="15.75" customHeight="1">
      <c r="A463" s="127"/>
      <c r="B463" s="211"/>
      <c r="D463" s="211"/>
    </row>
    <row r="464" ht="15.75" customHeight="1">
      <c r="A464" s="127"/>
      <c r="B464" s="211"/>
      <c r="D464" s="211"/>
    </row>
    <row r="465" ht="15.75" customHeight="1">
      <c r="A465" s="127"/>
      <c r="B465" s="211"/>
      <c r="D465" s="211"/>
    </row>
    <row r="466" ht="15.75" customHeight="1">
      <c r="A466" s="127"/>
      <c r="B466" s="211"/>
      <c r="D466" s="211"/>
    </row>
    <row r="467" ht="15.75" customHeight="1">
      <c r="A467" s="127"/>
      <c r="B467" s="211"/>
      <c r="D467" s="211"/>
    </row>
    <row r="468" ht="15.75" customHeight="1">
      <c r="A468" s="127"/>
      <c r="B468" s="211"/>
      <c r="D468" s="211"/>
    </row>
    <row r="469" ht="15.75" customHeight="1">
      <c r="A469" s="127"/>
      <c r="B469" s="211"/>
      <c r="D469" s="211"/>
    </row>
    <row r="470" ht="15.75" customHeight="1">
      <c r="A470" s="127"/>
      <c r="B470" s="211"/>
      <c r="D470" s="211"/>
    </row>
    <row r="471" ht="15.75" customHeight="1">
      <c r="A471" s="127"/>
      <c r="B471" s="211"/>
      <c r="D471" s="211"/>
    </row>
    <row r="472" ht="15.75" customHeight="1">
      <c r="A472" s="127"/>
      <c r="B472" s="211"/>
      <c r="D472" s="211"/>
    </row>
    <row r="473" ht="15.75" customHeight="1">
      <c r="A473" s="127"/>
      <c r="B473" s="211"/>
      <c r="D473" s="211"/>
    </row>
    <row r="474" ht="15.75" customHeight="1">
      <c r="A474" s="127"/>
      <c r="B474" s="211"/>
      <c r="D474" s="211"/>
    </row>
    <row r="475" ht="15.75" customHeight="1">
      <c r="A475" s="127"/>
      <c r="B475" s="211"/>
      <c r="D475" s="211"/>
    </row>
    <row r="476" ht="15.75" customHeight="1">
      <c r="A476" s="127"/>
      <c r="B476" s="211"/>
      <c r="D476" s="211"/>
    </row>
    <row r="477" ht="15.75" customHeight="1">
      <c r="A477" s="127"/>
      <c r="B477" s="211"/>
      <c r="D477" s="211"/>
    </row>
    <row r="478" ht="15.75" customHeight="1">
      <c r="A478" s="127"/>
      <c r="B478" s="211"/>
      <c r="D478" s="211"/>
    </row>
    <row r="479" ht="15.75" customHeight="1">
      <c r="A479" s="127"/>
      <c r="B479" s="211"/>
      <c r="D479" s="211"/>
    </row>
    <row r="480" ht="15.75" customHeight="1">
      <c r="A480" s="127"/>
      <c r="B480" s="211"/>
      <c r="D480" s="211"/>
    </row>
    <row r="481" ht="15.75" customHeight="1">
      <c r="A481" s="127"/>
      <c r="B481" s="211"/>
      <c r="D481" s="211"/>
    </row>
    <row r="482" ht="15.75" customHeight="1">
      <c r="A482" s="127"/>
      <c r="B482" s="211"/>
      <c r="D482" s="211"/>
    </row>
    <row r="483" ht="15.75" customHeight="1">
      <c r="A483" s="127"/>
      <c r="B483" s="211"/>
      <c r="D483" s="211"/>
    </row>
    <row r="484" ht="15.75" customHeight="1">
      <c r="A484" s="127"/>
      <c r="B484" s="211"/>
      <c r="D484" s="211"/>
    </row>
    <row r="485" ht="15.75" customHeight="1">
      <c r="A485" s="127"/>
      <c r="B485" s="211"/>
      <c r="D485" s="211"/>
    </row>
    <row r="486" ht="15.75" customHeight="1">
      <c r="A486" s="127"/>
      <c r="B486" s="211"/>
      <c r="D486" s="211"/>
    </row>
    <row r="487" ht="15.75" customHeight="1">
      <c r="A487" s="127"/>
      <c r="B487" s="211"/>
      <c r="D487" s="211"/>
    </row>
    <row r="488" ht="15.75" customHeight="1">
      <c r="A488" s="127"/>
      <c r="B488" s="211"/>
      <c r="D488" s="211"/>
    </row>
    <row r="489" ht="15.75" customHeight="1">
      <c r="A489" s="127"/>
      <c r="B489" s="211"/>
      <c r="D489" s="211"/>
    </row>
    <row r="490" ht="15.75" customHeight="1">
      <c r="A490" s="127"/>
      <c r="B490" s="211"/>
      <c r="D490" s="211"/>
    </row>
    <row r="491" ht="15.75" customHeight="1">
      <c r="A491" s="127"/>
      <c r="B491" s="211"/>
      <c r="D491" s="211"/>
    </row>
    <row r="492" ht="15.75" customHeight="1">
      <c r="A492" s="127"/>
      <c r="B492" s="211"/>
      <c r="D492" s="211"/>
    </row>
    <row r="493" ht="15.75" customHeight="1">
      <c r="A493" s="127"/>
      <c r="B493" s="211"/>
      <c r="D493" s="211"/>
    </row>
    <row r="494" ht="15.75" customHeight="1">
      <c r="A494" s="127"/>
      <c r="B494" s="211"/>
      <c r="D494" s="211"/>
    </row>
    <row r="495" ht="15.75" customHeight="1">
      <c r="A495" s="127"/>
      <c r="B495" s="211"/>
      <c r="D495" s="211"/>
    </row>
    <row r="496" ht="15.75" customHeight="1">
      <c r="A496" s="127"/>
      <c r="B496" s="211"/>
      <c r="D496" s="211"/>
    </row>
    <row r="497" ht="15.75" customHeight="1">
      <c r="A497" s="127"/>
      <c r="B497" s="211"/>
      <c r="D497" s="211"/>
    </row>
    <row r="498" ht="15.75" customHeight="1">
      <c r="A498" s="127"/>
      <c r="B498" s="211"/>
      <c r="D498" s="211"/>
    </row>
    <row r="499" ht="15.75" customHeight="1">
      <c r="A499" s="127"/>
      <c r="B499" s="211"/>
      <c r="D499" s="211"/>
    </row>
    <row r="500" ht="15.75" customHeight="1">
      <c r="A500" s="127"/>
      <c r="B500" s="211"/>
      <c r="D500" s="211"/>
    </row>
    <row r="501" ht="15.75" customHeight="1">
      <c r="A501" s="127"/>
      <c r="B501" s="211"/>
      <c r="D501" s="211"/>
    </row>
    <row r="502" ht="15.75" customHeight="1">
      <c r="A502" s="127"/>
      <c r="B502" s="211"/>
      <c r="D502" s="211"/>
    </row>
    <row r="503" ht="15.75" customHeight="1">
      <c r="A503" s="127"/>
      <c r="B503" s="211"/>
      <c r="D503" s="211"/>
    </row>
    <row r="504" ht="15.75" customHeight="1">
      <c r="A504" s="127"/>
      <c r="B504" s="211"/>
      <c r="D504" s="211"/>
    </row>
    <row r="505" ht="15.75" customHeight="1">
      <c r="A505" s="127"/>
      <c r="B505" s="211"/>
      <c r="D505" s="211"/>
    </row>
    <row r="506" ht="15.75" customHeight="1">
      <c r="A506" s="127"/>
      <c r="B506" s="211"/>
      <c r="D506" s="211"/>
    </row>
    <row r="507" ht="15.75" customHeight="1">
      <c r="A507" s="127"/>
      <c r="B507" s="211"/>
      <c r="D507" s="211"/>
    </row>
    <row r="508" ht="15.75" customHeight="1">
      <c r="A508" s="127"/>
      <c r="B508" s="211"/>
      <c r="D508" s="211"/>
    </row>
    <row r="509" ht="15.75" customHeight="1">
      <c r="A509" s="127"/>
      <c r="B509" s="211"/>
      <c r="D509" s="211"/>
    </row>
    <row r="510" ht="15.75" customHeight="1">
      <c r="A510" s="127"/>
      <c r="B510" s="211"/>
      <c r="D510" s="211"/>
    </row>
    <row r="511" ht="15.75" customHeight="1">
      <c r="A511" s="127"/>
      <c r="B511" s="211"/>
      <c r="D511" s="211"/>
    </row>
    <row r="512" ht="15.75" customHeight="1">
      <c r="A512" s="127"/>
      <c r="B512" s="211"/>
      <c r="D512" s="211"/>
    </row>
    <row r="513" ht="15.75" customHeight="1">
      <c r="A513" s="127"/>
      <c r="B513" s="211"/>
      <c r="D513" s="211"/>
    </row>
    <row r="514" ht="15.75" customHeight="1">
      <c r="A514" s="127"/>
      <c r="B514" s="211"/>
      <c r="D514" s="211"/>
    </row>
    <row r="515" ht="15.75" customHeight="1">
      <c r="A515" s="127"/>
      <c r="B515" s="211"/>
      <c r="D515" s="211"/>
    </row>
    <row r="516" ht="15.75" customHeight="1">
      <c r="A516" s="127"/>
      <c r="B516" s="211"/>
      <c r="D516" s="211"/>
    </row>
    <row r="517" ht="15.75" customHeight="1">
      <c r="A517" s="127"/>
      <c r="B517" s="211"/>
      <c r="D517" s="211"/>
    </row>
    <row r="518" ht="15.75" customHeight="1">
      <c r="A518" s="127"/>
      <c r="B518" s="211"/>
      <c r="D518" s="211"/>
    </row>
    <row r="519" ht="15.75" customHeight="1">
      <c r="A519" s="127"/>
      <c r="B519" s="211"/>
      <c r="D519" s="211"/>
    </row>
    <row r="520" ht="15.75" customHeight="1">
      <c r="A520" s="127"/>
      <c r="B520" s="211"/>
      <c r="D520" s="211"/>
    </row>
    <row r="521" ht="15.75" customHeight="1">
      <c r="A521" s="127"/>
      <c r="B521" s="211"/>
      <c r="D521" s="211"/>
    </row>
    <row r="522" ht="15.75" customHeight="1">
      <c r="A522" s="127"/>
      <c r="B522" s="211"/>
      <c r="D522" s="211"/>
    </row>
    <row r="523" ht="15.75" customHeight="1">
      <c r="A523" s="127"/>
      <c r="B523" s="211"/>
      <c r="D523" s="211"/>
    </row>
    <row r="524" ht="15.75" customHeight="1">
      <c r="A524" s="127"/>
      <c r="B524" s="211"/>
      <c r="D524" s="211"/>
    </row>
    <row r="525" ht="15.75" customHeight="1">
      <c r="A525" s="127"/>
      <c r="B525" s="211"/>
      <c r="D525" s="211"/>
    </row>
    <row r="526" ht="15.75" customHeight="1">
      <c r="A526" s="127"/>
      <c r="B526" s="211"/>
      <c r="D526" s="211"/>
    </row>
    <row r="527" ht="15.75" customHeight="1">
      <c r="A527" s="127"/>
      <c r="B527" s="211"/>
      <c r="D527" s="211"/>
    </row>
    <row r="528" ht="15.75" customHeight="1">
      <c r="A528" s="127"/>
      <c r="B528" s="211"/>
      <c r="D528" s="211"/>
    </row>
    <row r="529" ht="15.75" customHeight="1">
      <c r="A529" s="127"/>
      <c r="B529" s="211"/>
      <c r="D529" s="211"/>
    </row>
    <row r="530" ht="15.75" customHeight="1">
      <c r="A530" s="127"/>
      <c r="B530" s="211"/>
      <c r="D530" s="211"/>
    </row>
    <row r="531" ht="15.75" customHeight="1">
      <c r="A531" s="127"/>
      <c r="B531" s="211"/>
      <c r="D531" s="211"/>
    </row>
    <row r="532" ht="15.75" customHeight="1">
      <c r="A532" s="127"/>
      <c r="B532" s="211"/>
      <c r="D532" s="211"/>
    </row>
    <row r="533" ht="15.75" customHeight="1">
      <c r="A533" s="127"/>
      <c r="B533" s="211"/>
      <c r="D533" s="211"/>
    </row>
    <row r="534" ht="15.75" customHeight="1">
      <c r="A534" s="127"/>
      <c r="B534" s="211"/>
      <c r="D534" s="211"/>
    </row>
    <row r="535" ht="15.75" customHeight="1">
      <c r="A535" s="127"/>
      <c r="B535" s="211"/>
      <c r="D535" s="211"/>
    </row>
    <row r="536" ht="15.75" customHeight="1">
      <c r="A536" s="127"/>
      <c r="B536" s="211"/>
      <c r="D536" s="211"/>
    </row>
    <row r="537" ht="15.75" customHeight="1">
      <c r="A537" s="127"/>
      <c r="B537" s="211"/>
      <c r="D537" s="211"/>
    </row>
    <row r="538" ht="15.75" customHeight="1">
      <c r="A538" s="127"/>
      <c r="B538" s="211"/>
      <c r="D538" s="211"/>
    </row>
    <row r="539" ht="15.75" customHeight="1">
      <c r="A539" s="127"/>
      <c r="B539" s="211"/>
      <c r="D539" s="211"/>
    </row>
    <row r="540" ht="15.75" customHeight="1">
      <c r="A540" s="127"/>
      <c r="B540" s="211"/>
      <c r="D540" s="211"/>
    </row>
    <row r="541" ht="15.75" customHeight="1">
      <c r="A541" s="127"/>
      <c r="B541" s="211"/>
      <c r="D541" s="211"/>
    </row>
    <row r="542" ht="15.75" customHeight="1">
      <c r="A542" s="127"/>
      <c r="B542" s="211"/>
      <c r="D542" s="211"/>
    </row>
    <row r="543" ht="15.75" customHeight="1">
      <c r="A543" s="127"/>
      <c r="B543" s="211"/>
      <c r="D543" s="211"/>
    </row>
    <row r="544" ht="15.75" customHeight="1">
      <c r="A544" s="127"/>
      <c r="B544" s="211"/>
      <c r="D544" s="211"/>
    </row>
    <row r="545" ht="15.75" customHeight="1">
      <c r="A545" s="127"/>
      <c r="B545" s="211"/>
      <c r="D545" s="211"/>
    </row>
    <row r="546" ht="15.75" customHeight="1">
      <c r="A546" s="127"/>
      <c r="B546" s="211"/>
      <c r="D546" s="211"/>
    </row>
    <row r="547" ht="15.75" customHeight="1">
      <c r="A547" s="127"/>
      <c r="B547" s="211"/>
      <c r="D547" s="211"/>
    </row>
    <row r="548" ht="15.75" customHeight="1">
      <c r="A548" s="127"/>
      <c r="B548" s="211"/>
      <c r="D548" s="211"/>
    </row>
    <row r="549" ht="15.75" customHeight="1">
      <c r="A549" s="127"/>
      <c r="B549" s="211"/>
      <c r="D549" s="211"/>
    </row>
    <row r="550" ht="15.75" customHeight="1">
      <c r="A550" s="127"/>
      <c r="B550" s="211"/>
      <c r="D550" s="211"/>
    </row>
    <row r="551" ht="15.75" customHeight="1">
      <c r="A551" s="127"/>
      <c r="B551" s="211"/>
      <c r="D551" s="211"/>
    </row>
    <row r="552" ht="15.75" customHeight="1">
      <c r="A552" s="127"/>
      <c r="B552" s="211"/>
      <c r="D552" s="211"/>
    </row>
    <row r="553" ht="15.75" customHeight="1">
      <c r="A553" s="127"/>
      <c r="B553" s="211"/>
      <c r="D553" s="211"/>
    </row>
    <row r="554" ht="15.75" customHeight="1">
      <c r="A554" s="127"/>
      <c r="B554" s="211"/>
      <c r="D554" s="211"/>
    </row>
    <row r="555" ht="15.75" customHeight="1">
      <c r="A555" s="127"/>
      <c r="B555" s="211"/>
      <c r="D555" s="211"/>
    </row>
    <row r="556" ht="15.75" customHeight="1">
      <c r="A556" s="127"/>
      <c r="B556" s="211"/>
      <c r="D556" s="211"/>
    </row>
    <row r="557" ht="15.75" customHeight="1">
      <c r="A557" s="127"/>
      <c r="B557" s="211"/>
      <c r="D557" s="211"/>
    </row>
    <row r="558" ht="15.75" customHeight="1">
      <c r="A558" s="127"/>
      <c r="B558" s="211"/>
      <c r="D558" s="211"/>
    </row>
    <row r="559" ht="15.75" customHeight="1">
      <c r="A559" s="127"/>
      <c r="B559" s="211"/>
      <c r="D559" s="211"/>
    </row>
    <row r="560" ht="15.75" customHeight="1">
      <c r="A560" s="127"/>
      <c r="B560" s="211"/>
      <c r="D560" s="211"/>
    </row>
    <row r="561" ht="15.75" customHeight="1">
      <c r="A561" s="127"/>
      <c r="B561" s="211"/>
      <c r="D561" s="211"/>
    </row>
    <row r="562" ht="15.75" customHeight="1">
      <c r="A562" s="127"/>
      <c r="B562" s="211"/>
      <c r="D562" s="211"/>
    </row>
    <row r="563" ht="15.75" customHeight="1">
      <c r="A563" s="127"/>
      <c r="B563" s="211"/>
      <c r="D563" s="211"/>
    </row>
    <row r="564" ht="15.75" customHeight="1">
      <c r="A564" s="127"/>
      <c r="B564" s="211"/>
      <c r="D564" s="211"/>
    </row>
    <row r="565" ht="15.75" customHeight="1">
      <c r="A565" s="127"/>
      <c r="B565" s="211"/>
      <c r="D565" s="211"/>
    </row>
    <row r="566" ht="15.75" customHeight="1">
      <c r="A566" s="127"/>
      <c r="B566" s="211"/>
      <c r="D566" s="211"/>
    </row>
    <row r="567" ht="15.75" customHeight="1">
      <c r="A567" s="127"/>
      <c r="B567" s="211"/>
      <c r="D567" s="211"/>
    </row>
    <row r="568" ht="15.75" customHeight="1">
      <c r="A568" s="127"/>
      <c r="B568" s="211"/>
      <c r="D568" s="211"/>
    </row>
    <row r="569" ht="15.75" customHeight="1">
      <c r="A569" s="127"/>
      <c r="B569" s="211"/>
      <c r="D569" s="211"/>
    </row>
    <row r="570" ht="15.75" customHeight="1">
      <c r="A570" s="127"/>
      <c r="B570" s="211"/>
      <c r="D570" s="211"/>
    </row>
    <row r="571" ht="15.75" customHeight="1">
      <c r="A571" s="127"/>
      <c r="B571" s="211"/>
      <c r="D571" s="211"/>
    </row>
    <row r="572" ht="15.75" customHeight="1">
      <c r="A572" s="127"/>
      <c r="B572" s="211"/>
      <c r="D572" s="211"/>
    </row>
    <row r="573" ht="15.75" customHeight="1">
      <c r="A573" s="127"/>
      <c r="B573" s="211"/>
      <c r="D573" s="211"/>
    </row>
    <row r="574" ht="15.75" customHeight="1">
      <c r="A574" s="127"/>
      <c r="B574" s="211"/>
      <c r="D574" s="211"/>
    </row>
    <row r="575" ht="15.75" customHeight="1">
      <c r="A575" s="127"/>
      <c r="B575" s="211"/>
      <c r="D575" s="211"/>
    </row>
    <row r="576" ht="15.75" customHeight="1">
      <c r="A576" s="127"/>
      <c r="B576" s="211"/>
      <c r="D576" s="211"/>
    </row>
    <row r="577" ht="15.75" customHeight="1">
      <c r="A577" s="127"/>
      <c r="B577" s="211"/>
      <c r="D577" s="211"/>
    </row>
    <row r="578" ht="15.75" customHeight="1">
      <c r="A578" s="127"/>
      <c r="B578" s="211"/>
      <c r="D578" s="211"/>
    </row>
    <row r="579" ht="15.75" customHeight="1">
      <c r="A579" s="127"/>
      <c r="B579" s="211"/>
      <c r="D579" s="211"/>
    </row>
    <row r="580" ht="15.75" customHeight="1">
      <c r="A580" s="127"/>
      <c r="B580" s="211"/>
      <c r="D580" s="211"/>
    </row>
    <row r="581" ht="15.75" customHeight="1">
      <c r="A581" s="127"/>
      <c r="B581" s="211"/>
      <c r="D581" s="211"/>
    </row>
    <row r="582" ht="15.75" customHeight="1">
      <c r="A582" s="127"/>
      <c r="B582" s="211"/>
      <c r="D582" s="211"/>
    </row>
    <row r="583" ht="15.75" customHeight="1">
      <c r="A583" s="127"/>
      <c r="B583" s="211"/>
      <c r="D583" s="211"/>
    </row>
    <row r="584" ht="15.75" customHeight="1">
      <c r="A584" s="127"/>
      <c r="B584" s="211"/>
      <c r="D584" s="211"/>
    </row>
    <row r="585" ht="15.75" customHeight="1">
      <c r="A585" s="127"/>
      <c r="B585" s="211"/>
      <c r="D585" s="211"/>
    </row>
    <row r="586" ht="15.75" customHeight="1">
      <c r="A586" s="127"/>
      <c r="B586" s="211"/>
      <c r="D586" s="211"/>
    </row>
    <row r="587" ht="15.75" customHeight="1">
      <c r="A587" s="127"/>
      <c r="B587" s="211"/>
      <c r="D587" s="211"/>
    </row>
    <row r="588" ht="15.75" customHeight="1">
      <c r="A588" s="127"/>
      <c r="B588" s="211"/>
      <c r="D588" s="211"/>
    </row>
    <row r="589" ht="15.75" customHeight="1">
      <c r="A589" s="127"/>
      <c r="B589" s="211"/>
      <c r="D589" s="211"/>
    </row>
    <row r="590" ht="15.75" customHeight="1">
      <c r="A590" s="127"/>
      <c r="B590" s="211"/>
      <c r="D590" s="211"/>
    </row>
    <row r="591" ht="15.75" customHeight="1">
      <c r="A591" s="127"/>
      <c r="B591" s="211"/>
      <c r="D591" s="211"/>
    </row>
    <row r="592" ht="15.75" customHeight="1">
      <c r="A592" s="127"/>
      <c r="B592" s="211"/>
      <c r="D592" s="211"/>
    </row>
    <row r="593" ht="15.75" customHeight="1">
      <c r="A593" s="127"/>
      <c r="B593" s="211"/>
      <c r="D593" s="211"/>
    </row>
    <row r="594" ht="15.75" customHeight="1">
      <c r="A594" s="127"/>
      <c r="B594" s="211"/>
      <c r="D594" s="211"/>
    </row>
    <row r="595" ht="15.75" customHeight="1">
      <c r="A595" s="127"/>
      <c r="B595" s="211"/>
      <c r="D595" s="211"/>
    </row>
    <row r="596" ht="15.75" customHeight="1">
      <c r="A596" s="127"/>
      <c r="B596" s="211"/>
      <c r="D596" s="211"/>
    </row>
    <row r="597" ht="15.75" customHeight="1">
      <c r="A597" s="127"/>
      <c r="B597" s="211"/>
      <c r="D597" s="211"/>
    </row>
    <row r="598" ht="15.75" customHeight="1">
      <c r="A598" s="127"/>
      <c r="B598" s="211"/>
      <c r="D598" s="211"/>
    </row>
    <row r="599" ht="15.75" customHeight="1">
      <c r="A599" s="127"/>
      <c r="B599" s="211"/>
      <c r="D599" s="211"/>
    </row>
    <row r="600" ht="15.75" customHeight="1">
      <c r="A600" s="127"/>
      <c r="B600" s="211"/>
      <c r="D600" s="211"/>
    </row>
    <row r="601" ht="15.75" customHeight="1">
      <c r="A601" s="127"/>
      <c r="B601" s="211"/>
      <c r="D601" s="211"/>
    </row>
    <row r="602" ht="15.75" customHeight="1">
      <c r="A602" s="127"/>
      <c r="B602" s="211"/>
      <c r="D602" s="211"/>
    </row>
    <row r="603" ht="15.75" customHeight="1">
      <c r="A603" s="127"/>
      <c r="B603" s="211"/>
      <c r="D603" s="211"/>
    </row>
    <row r="604" ht="15.75" customHeight="1">
      <c r="A604" s="127"/>
      <c r="B604" s="211"/>
      <c r="D604" s="211"/>
    </row>
    <row r="605" ht="15.75" customHeight="1">
      <c r="A605" s="127"/>
      <c r="B605" s="211"/>
      <c r="D605" s="211"/>
    </row>
    <row r="606" ht="15.75" customHeight="1">
      <c r="A606" s="127"/>
      <c r="B606" s="211"/>
      <c r="D606" s="211"/>
    </row>
    <row r="607" ht="15.75" customHeight="1">
      <c r="A607" s="127"/>
      <c r="B607" s="211"/>
      <c r="D607" s="211"/>
    </row>
    <row r="608" ht="15.75" customHeight="1">
      <c r="A608" s="127"/>
      <c r="B608" s="211"/>
      <c r="D608" s="211"/>
    </row>
    <row r="609" ht="15.75" customHeight="1">
      <c r="A609" s="127"/>
      <c r="B609" s="211"/>
      <c r="D609" s="211"/>
    </row>
    <row r="610" ht="15.75" customHeight="1">
      <c r="A610" s="127"/>
      <c r="B610" s="211"/>
      <c r="D610" s="211"/>
    </row>
    <row r="611" ht="15.75" customHeight="1">
      <c r="A611" s="127"/>
      <c r="B611" s="211"/>
      <c r="D611" s="211"/>
    </row>
    <row r="612" ht="15.75" customHeight="1">
      <c r="A612" s="127"/>
      <c r="B612" s="211"/>
      <c r="D612" s="211"/>
    </row>
    <row r="613" ht="15.75" customHeight="1">
      <c r="A613" s="127"/>
      <c r="B613" s="211"/>
      <c r="D613" s="211"/>
    </row>
    <row r="614" ht="15.75" customHeight="1">
      <c r="A614" s="127"/>
      <c r="B614" s="211"/>
      <c r="D614" s="211"/>
    </row>
    <row r="615" ht="15.75" customHeight="1">
      <c r="A615" s="127"/>
      <c r="B615" s="211"/>
      <c r="D615" s="211"/>
    </row>
    <row r="616" ht="15.75" customHeight="1">
      <c r="A616" s="127"/>
      <c r="B616" s="211"/>
      <c r="D616" s="211"/>
    </row>
    <row r="617" ht="15.75" customHeight="1">
      <c r="A617" s="127"/>
      <c r="B617" s="211"/>
      <c r="D617" s="211"/>
    </row>
    <row r="618" ht="15.75" customHeight="1">
      <c r="A618" s="127"/>
      <c r="B618" s="211"/>
      <c r="D618" s="211"/>
    </row>
    <row r="619" ht="15.75" customHeight="1">
      <c r="A619" s="127"/>
      <c r="B619" s="211"/>
      <c r="D619" s="211"/>
    </row>
    <row r="620" ht="15.75" customHeight="1">
      <c r="A620" s="127"/>
      <c r="B620" s="211"/>
      <c r="D620" s="211"/>
    </row>
    <row r="621" ht="15.75" customHeight="1">
      <c r="A621" s="127"/>
      <c r="B621" s="211"/>
      <c r="D621" s="211"/>
    </row>
    <row r="622" ht="15.75" customHeight="1">
      <c r="A622" s="127"/>
      <c r="B622" s="211"/>
      <c r="D622" s="211"/>
    </row>
    <row r="623" ht="15.75" customHeight="1">
      <c r="A623" s="127"/>
      <c r="B623" s="211"/>
      <c r="D623" s="211"/>
    </row>
    <row r="624" ht="15.75" customHeight="1">
      <c r="A624" s="127"/>
      <c r="B624" s="211"/>
      <c r="D624" s="211"/>
    </row>
    <row r="625" ht="15.75" customHeight="1">
      <c r="A625" s="127"/>
      <c r="B625" s="211"/>
      <c r="D625" s="211"/>
    </row>
    <row r="626" ht="15.75" customHeight="1">
      <c r="A626" s="127"/>
      <c r="B626" s="211"/>
      <c r="D626" s="211"/>
    </row>
    <row r="627" ht="15.75" customHeight="1">
      <c r="A627" s="127"/>
      <c r="B627" s="211"/>
      <c r="D627" s="211"/>
    </row>
    <row r="628" ht="15.75" customHeight="1">
      <c r="A628" s="127"/>
      <c r="B628" s="211"/>
      <c r="D628" s="211"/>
    </row>
    <row r="629" ht="15.75" customHeight="1">
      <c r="A629" s="127"/>
      <c r="B629" s="211"/>
      <c r="D629" s="211"/>
    </row>
    <row r="630" ht="15.75" customHeight="1">
      <c r="A630" s="127"/>
      <c r="B630" s="211"/>
      <c r="D630" s="211"/>
    </row>
    <row r="631" ht="15.75" customHeight="1">
      <c r="A631" s="127"/>
      <c r="B631" s="211"/>
      <c r="D631" s="211"/>
    </row>
    <row r="632" ht="15.75" customHeight="1">
      <c r="A632" s="127"/>
      <c r="B632" s="211"/>
      <c r="D632" s="211"/>
    </row>
    <row r="633" ht="15.75" customHeight="1">
      <c r="A633" s="127"/>
      <c r="B633" s="211"/>
      <c r="D633" s="211"/>
    </row>
    <row r="634" ht="15.75" customHeight="1">
      <c r="A634" s="127"/>
      <c r="B634" s="211"/>
      <c r="D634" s="211"/>
    </row>
    <row r="635" ht="15.75" customHeight="1">
      <c r="A635" s="127"/>
      <c r="B635" s="211"/>
      <c r="D635" s="211"/>
    </row>
    <row r="636" ht="15.75" customHeight="1">
      <c r="A636" s="127"/>
      <c r="B636" s="211"/>
      <c r="D636" s="211"/>
    </row>
    <row r="637" ht="15.75" customHeight="1">
      <c r="A637" s="127"/>
      <c r="B637" s="211"/>
      <c r="D637" s="211"/>
    </row>
    <row r="638" ht="15.75" customHeight="1">
      <c r="A638" s="127"/>
      <c r="B638" s="211"/>
      <c r="D638" s="211"/>
    </row>
    <row r="639" ht="15.75" customHeight="1">
      <c r="A639" s="127"/>
      <c r="B639" s="211"/>
      <c r="D639" s="211"/>
    </row>
    <row r="640" ht="15.75" customHeight="1">
      <c r="A640" s="127"/>
      <c r="B640" s="211"/>
      <c r="D640" s="211"/>
    </row>
    <row r="641" ht="15.75" customHeight="1">
      <c r="A641" s="127"/>
      <c r="B641" s="211"/>
      <c r="D641" s="211"/>
    </row>
    <row r="642" ht="15.75" customHeight="1">
      <c r="A642" s="127"/>
      <c r="B642" s="211"/>
      <c r="D642" s="211"/>
    </row>
    <row r="643" ht="15.75" customHeight="1">
      <c r="A643" s="127"/>
      <c r="B643" s="211"/>
      <c r="D643" s="211"/>
    </row>
    <row r="644" ht="15.75" customHeight="1">
      <c r="A644" s="127"/>
      <c r="B644" s="211"/>
      <c r="D644" s="211"/>
    </row>
    <row r="645" ht="15.75" customHeight="1">
      <c r="A645" s="127"/>
      <c r="B645" s="211"/>
      <c r="D645" s="211"/>
    </row>
    <row r="646" ht="15.75" customHeight="1">
      <c r="A646" s="127"/>
      <c r="B646" s="211"/>
      <c r="D646" s="211"/>
    </row>
    <row r="647" ht="15.75" customHeight="1">
      <c r="A647" s="127"/>
      <c r="B647" s="211"/>
      <c r="D647" s="211"/>
    </row>
    <row r="648" ht="15.75" customHeight="1">
      <c r="A648" s="127"/>
      <c r="B648" s="211"/>
      <c r="D648" s="211"/>
    </row>
    <row r="649" ht="15.75" customHeight="1">
      <c r="A649" s="127"/>
      <c r="B649" s="211"/>
      <c r="D649" s="211"/>
    </row>
    <row r="650" ht="15.75" customHeight="1">
      <c r="A650" s="127"/>
      <c r="B650" s="211"/>
      <c r="D650" s="211"/>
    </row>
    <row r="651" ht="15.75" customHeight="1">
      <c r="A651" s="127"/>
      <c r="B651" s="211"/>
      <c r="D651" s="211"/>
    </row>
    <row r="652" ht="15.75" customHeight="1">
      <c r="A652" s="127"/>
      <c r="B652" s="211"/>
      <c r="D652" s="211"/>
    </row>
    <row r="653" ht="15.75" customHeight="1">
      <c r="A653" s="127"/>
      <c r="B653" s="211"/>
      <c r="D653" s="211"/>
    </row>
    <row r="654" ht="15.75" customHeight="1">
      <c r="A654" s="127"/>
      <c r="B654" s="211"/>
      <c r="D654" s="211"/>
    </row>
    <row r="655" ht="15.75" customHeight="1">
      <c r="A655" s="127"/>
      <c r="B655" s="211"/>
      <c r="D655" s="211"/>
    </row>
    <row r="656" ht="15.75" customHeight="1">
      <c r="A656" s="127"/>
      <c r="B656" s="211"/>
      <c r="D656" s="211"/>
    </row>
    <row r="657" ht="15.75" customHeight="1">
      <c r="A657" s="127"/>
      <c r="B657" s="211"/>
      <c r="D657" s="211"/>
    </row>
    <row r="658" ht="15.75" customHeight="1">
      <c r="A658" s="127"/>
      <c r="B658" s="211"/>
      <c r="D658" s="211"/>
    </row>
    <row r="659" ht="15.75" customHeight="1">
      <c r="A659" s="127"/>
      <c r="B659" s="211"/>
      <c r="D659" s="211"/>
    </row>
    <row r="660" ht="15.75" customHeight="1">
      <c r="A660" s="127"/>
      <c r="B660" s="211"/>
      <c r="D660" s="211"/>
    </row>
    <row r="661" ht="15.75" customHeight="1">
      <c r="A661" s="127"/>
      <c r="B661" s="211"/>
      <c r="D661" s="211"/>
    </row>
    <row r="662" ht="15.75" customHeight="1">
      <c r="A662" s="127"/>
      <c r="B662" s="211"/>
      <c r="D662" s="211"/>
    </row>
    <row r="663" ht="15.75" customHeight="1">
      <c r="A663" s="127"/>
      <c r="B663" s="211"/>
      <c r="D663" s="211"/>
    </row>
    <row r="664" ht="15.75" customHeight="1">
      <c r="A664" s="127"/>
      <c r="B664" s="211"/>
      <c r="D664" s="211"/>
    </row>
    <row r="665" ht="15.75" customHeight="1">
      <c r="A665" s="127"/>
      <c r="B665" s="211"/>
      <c r="D665" s="211"/>
    </row>
    <row r="666" ht="15.75" customHeight="1">
      <c r="A666" s="127"/>
      <c r="B666" s="211"/>
      <c r="D666" s="211"/>
    </row>
    <row r="667" ht="15.75" customHeight="1">
      <c r="A667" s="127"/>
      <c r="B667" s="211"/>
      <c r="D667" s="211"/>
    </row>
    <row r="668" ht="15.75" customHeight="1">
      <c r="A668" s="127"/>
      <c r="B668" s="211"/>
      <c r="D668" s="211"/>
    </row>
    <row r="669" ht="15.75" customHeight="1">
      <c r="A669" s="127"/>
      <c r="B669" s="211"/>
      <c r="D669" s="211"/>
    </row>
    <row r="670" ht="15.75" customHeight="1">
      <c r="A670" s="127"/>
      <c r="B670" s="211"/>
      <c r="D670" s="211"/>
    </row>
    <row r="671" ht="15.75" customHeight="1">
      <c r="A671" s="127"/>
      <c r="B671" s="211"/>
      <c r="D671" s="211"/>
    </row>
    <row r="672" ht="15.75" customHeight="1">
      <c r="A672" s="127"/>
      <c r="B672" s="211"/>
      <c r="D672" s="211"/>
    </row>
    <row r="673" ht="15.75" customHeight="1">
      <c r="A673" s="127"/>
      <c r="B673" s="211"/>
      <c r="D673" s="211"/>
    </row>
    <row r="674" ht="15.75" customHeight="1">
      <c r="A674" s="127"/>
      <c r="B674" s="211"/>
      <c r="D674" s="211"/>
    </row>
    <row r="675" ht="15.75" customHeight="1">
      <c r="A675" s="127"/>
      <c r="B675" s="211"/>
      <c r="D675" s="211"/>
    </row>
    <row r="676" ht="15.75" customHeight="1">
      <c r="A676" s="127"/>
      <c r="B676" s="211"/>
      <c r="D676" s="211"/>
    </row>
    <row r="677" ht="15.75" customHeight="1">
      <c r="A677" s="127"/>
      <c r="B677" s="211"/>
      <c r="D677" s="211"/>
    </row>
    <row r="678" ht="15.75" customHeight="1">
      <c r="A678" s="127"/>
      <c r="B678" s="211"/>
      <c r="D678" s="211"/>
    </row>
    <row r="679" ht="15.75" customHeight="1">
      <c r="A679" s="127"/>
      <c r="B679" s="211"/>
      <c r="D679" s="211"/>
    </row>
    <row r="680" ht="15.75" customHeight="1">
      <c r="A680" s="127"/>
      <c r="B680" s="211"/>
      <c r="D680" s="211"/>
    </row>
    <row r="681" ht="15.75" customHeight="1">
      <c r="A681" s="127"/>
      <c r="B681" s="211"/>
      <c r="D681" s="211"/>
    </row>
    <row r="682" ht="15.75" customHeight="1">
      <c r="A682" s="127"/>
      <c r="B682" s="211"/>
      <c r="D682" s="211"/>
    </row>
    <row r="683" ht="15.75" customHeight="1">
      <c r="A683" s="127"/>
      <c r="B683" s="211"/>
      <c r="D683" s="211"/>
    </row>
    <row r="684" ht="15.75" customHeight="1">
      <c r="A684" s="127"/>
      <c r="B684" s="211"/>
      <c r="D684" s="211"/>
    </row>
    <row r="685" ht="15.75" customHeight="1">
      <c r="A685" s="127"/>
      <c r="B685" s="211"/>
      <c r="D685" s="211"/>
    </row>
    <row r="686" ht="15.75" customHeight="1">
      <c r="A686" s="127"/>
      <c r="B686" s="211"/>
      <c r="D686" s="211"/>
    </row>
    <row r="687" ht="15.75" customHeight="1">
      <c r="A687" s="127"/>
      <c r="B687" s="211"/>
      <c r="D687" s="211"/>
    </row>
    <row r="688" ht="15.75" customHeight="1">
      <c r="A688" s="127"/>
      <c r="B688" s="211"/>
      <c r="D688" s="211"/>
    </row>
    <row r="689" ht="15.75" customHeight="1">
      <c r="A689" s="127"/>
      <c r="B689" s="211"/>
      <c r="D689" s="211"/>
    </row>
    <row r="690" ht="15.75" customHeight="1">
      <c r="A690" s="127"/>
      <c r="B690" s="211"/>
      <c r="D690" s="211"/>
    </row>
    <row r="691" ht="15.75" customHeight="1">
      <c r="A691" s="127"/>
      <c r="B691" s="211"/>
      <c r="D691" s="211"/>
    </row>
    <row r="692" ht="15.75" customHeight="1">
      <c r="A692" s="127"/>
      <c r="B692" s="211"/>
      <c r="D692" s="211"/>
    </row>
    <row r="693" ht="15.75" customHeight="1">
      <c r="A693" s="127"/>
      <c r="B693" s="211"/>
      <c r="D693" s="211"/>
    </row>
    <row r="694" ht="15.75" customHeight="1">
      <c r="A694" s="127"/>
      <c r="B694" s="211"/>
      <c r="D694" s="211"/>
    </row>
    <row r="695" ht="15.75" customHeight="1">
      <c r="A695" s="127"/>
      <c r="B695" s="211"/>
      <c r="D695" s="211"/>
    </row>
    <row r="696" ht="15.75" customHeight="1">
      <c r="A696" s="127"/>
      <c r="B696" s="211"/>
      <c r="D696" s="211"/>
    </row>
    <row r="697" ht="15.75" customHeight="1">
      <c r="A697" s="127"/>
      <c r="B697" s="211"/>
      <c r="D697" s="211"/>
    </row>
    <row r="698" ht="15.75" customHeight="1">
      <c r="A698" s="127"/>
      <c r="B698" s="211"/>
      <c r="D698" s="211"/>
    </row>
    <row r="699" ht="15.75" customHeight="1">
      <c r="A699" s="127"/>
      <c r="B699" s="211"/>
      <c r="D699" s="211"/>
    </row>
    <row r="700" ht="15.75" customHeight="1">
      <c r="A700" s="127"/>
      <c r="B700" s="211"/>
      <c r="D700" s="211"/>
    </row>
    <row r="701" ht="15.75" customHeight="1">
      <c r="A701" s="127"/>
      <c r="B701" s="211"/>
      <c r="D701" s="211"/>
    </row>
    <row r="702" ht="15.75" customHeight="1">
      <c r="A702" s="127"/>
      <c r="B702" s="211"/>
      <c r="D702" s="211"/>
    </row>
    <row r="703" ht="15.75" customHeight="1">
      <c r="A703" s="127"/>
      <c r="B703" s="211"/>
      <c r="D703" s="211"/>
    </row>
    <row r="704" ht="15.75" customHeight="1">
      <c r="A704" s="127"/>
      <c r="B704" s="211"/>
      <c r="D704" s="211"/>
    </row>
    <row r="705" ht="15.75" customHeight="1">
      <c r="A705" s="127"/>
      <c r="B705" s="211"/>
      <c r="D705" s="211"/>
    </row>
    <row r="706" ht="15.75" customHeight="1">
      <c r="A706" s="127"/>
      <c r="B706" s="211"/>
      <c r="D706" s="211"/>
    </row>
    <row r="707" ht="15.75" customHeight="1">
      <c r="A707" s="127"/>
      <c r="B707" s="211"/>
      <c r="D707" s="211"/>
    </row>
    <row r="708" ht="15.75" customHeight="1">
      <c r="A708" s="127"/>
      <c r="B708" s="211"/>
      <c r="D708" s="211"/>
    </row>
    <row r="709" ht="15.75" customHeight="1">
      <c r="A709" s="127"/>
      <c r="B709" s="211"/>
      <c r="D709" s="211"/>
    </row>
    <row r="710" ht="15.75" customHeight="1">
      <c r="A710" s="127"/>
      <c r="B710" s="211"/>
      <c r="D710" s="211"/>
    </row>
    <row r="711" ht="15.75" customHeight="1">
      <c r="A711" s="127"/>
      <c r="B711" s="211"/>
      <c r="D711" s="211"/>
    </row>
    <row r="712" ht="15.75" customHeight="1">
      <c r="A712" s="127"/>
      <c r="B712" s="211"/>
      <c r="D712" s="211"/>
    </row>
    <row r="713" ht="15.75" customHeight="1">
      <c r="A713" s="127"/>
      <c r="B713" s="211"/>
      <c r="D713" s="211"/>
    </row>
    <row r="714" ht="15.75" customHeight="1">
      <c r="A714" s="127"/>
      <c r="B714" s="211"/>
      <c r="D714" s="211"/>
    </row>
    <row r="715" ht="15.75" customHeight="1">
      <c r="A715" s="127"/>
      <c r="B715" s="211"/>
      <c r="D715" s="211"/>
    </row>
    <row r="716" ht="15.75" customHeight="1">
      <c r="A716" s="127"/>
      <c r="B716" s="211"/>
      <c r="D716" s="211"/>
    </row>
    <row r="717" ht="15.75" customHeight="1">
      <c r="A717" s="127"/>
      <c r="B717" s="211"/>
      <c r="D717" s="211"/>
    </row>
    <row r="718" ht="15.75" customHeight="1">
      <c r="A718" s="127"/>
      <c r="B718" s="211"/>
      <c r="D718" s="211"/>
    </row>
    <row r="719" ht="15.75" customHeight="1">
      <c r="A719" s="127"/>
      <c r="B719" s="211"/>
      <c r="D719" s="211"/>
    </row>
    <row r="720" ht="15.75" customHeight="1">
      <c r="A720" s="127"/>
      <c r="B720" s="211"/>
      <c r="D720" s="211"/>
    </row>
    <row r="721" ht="15.75" customHeight="1">
      <c r="A721" s="127"/>
      <c r="B721" s="211"/>
      <c r="D721" s="211"/>
    </row>
    <row r="722" ht="15.75" customHeight="1">
      <c r="A722" s="127"/>
      <c r="B722" s="211"/>
      <c r="D722" s="211"/>
    </row>
    <row r="723" ht="15.75" customHeight="1">
      <c r="A723" s="127"/>
      <c r="B723" s="211"/>
      <c r="D723" s="211"/>
    </row>
    <row r="724" ht="15.75" customHeight="1">
      <c r="A724" s="127"/>
      <c r="B724" s="211"/>
      <c r="D724" s="211"/>
    </row>
    <row r="725" ht="15.75" customHeight="1">
      <c r="A725" s="127"/>
      <c r="B725" s="211"/>
      <c r="D725" s="211"/>
    </row>
    <row r="726" ht="15.75" customHeight="1">
      <c r="A726" s="127"/>
      <c r="B726" s="211"/>
      <c r="D726" s="211"/>
    </row>
    <row r="727" ht="15.75" customHeight="1">
      <c r="A727" s="127"/>
      <c r="B727" s="211"/>
      <c r="D727" s="211"/>
    </row>
    <row r="728" ht="15.75" customHeight="1">
      <c r="A728" s="127"/>
      <c r="B728" s="211"/>
      <c r="D728" s="211"/>
    </row>
    <row r="729" ht="15.75" customHeight="1">
      <c r="A729" s="127"/>
      <c r="B729" s="211"/>
      <c r="D729" s="211"/>
    </row>
    <row r="730" ht="15.75" customHeight="1">
      <c r="A730" s="127"/>
      <c r="B730" s="211"/>
      <c r="D730" s="211"/>
    </row>
    <row r="731" ht="15.75" customHeight="1">
      <c r="A731" s="127"/>
      <c r="B731" s="211"/>
      <c r="D731" s="211"/>
    </row>
    <row r="732" ht="15.75" customHeight="1">
      <c r="A732" s="127"/>
      <c r="B732" s="211"/>
      <c r="D732" s="211"/>
    </row>
    <row r="733" ht="15.75" customHeight="1">
      <c r="A733" s="127"/>
      <c r="B733" s="211"/>
      <c r="D733" s="211"/>
    </row>
    <row r="734" ht="15.75" customHeight="1">
      <c r="A734" s="127"/>
      <c r="B734" s="211"/>
      <c r="D734" s="211"/>
    </row>
    <row r="735" ht="15.75" customHeight="1">
      <c r="A735" s="127"/>
      <c r="B735" s="211"/>
      <c r="D735" s="211"/>
    </row>
    <row r="736" ht="15.75" customHeight="1">
      <c r="A736" s="127"/>
      <c r="B736" s="211"/>
      <c r="D736" s="211"/>
    </row>
    <row r="737" ht="15.75" customHeight="1">
      <c r="A737" s="127"/>
      <c r="B737" s="211"/>
      <c r="D737" s="211"/>
    </row>
    <row r="738" ht="15.75" customHeight="1">
      <c r="A738" s="127"/>
      <c r="B738" s="211"/>
      <c r="D738" s="211"/>
    </row>
    <row r="739" ht="15.75" customHeight="1">
      <c r="A739" s="127"/>
      <c r="B739" s="211"/>
      <c r="D739" s="211"/>
    </row>
    <row r="740" ht="15.75" customHeight="1">
      <c r="A740" s="127"/>
      <c r="B740" s="211"/>
      <c r="D740" s="211"/>
    </row>
    <row r="741" ht="15.75" customHeight="1">
      <c r="A741" s="127"/>
      <c r="B741" s="211"/>
      <c r="D741" s="211"/>
    </row>
    <row r="742" ht="15.75" customHeight="1">
      <c r="A742" s="127"/>
      <c r="B742" s="211"/>
      <c r="D742" s="211"/>
    </row>
    <row r="743" ht="15.75" customHeight="1">
      <c r="A743" s="127"/>
      <c r="B743" s="211"/>
      <c r="D743" s="211"/>
    </row>
    <row r="744" ht="15.75" customHeight="1">
      <c r="A744" s="127"/>
      <c r="B744" s="211"/>
      <c r="D744" s="211"/>
    </row>
    <row r="745" ht="15.75" customHeight="1">
      <c r="A745" s="127"/>
      <c r="B745" s="211"/>
      <c r="D745" s="211"/>
    </row>
    <row r="746" ht="15.75" customHeight="1">
      <c r="A746" s="127"/>
      <c r="B746" s="211"/>
      <c r="D746" s="211"/>
    </row>
    <row r="747" ht="15.75" customHeight="1">
      <c r="A747" s="127"/>
      <c r="B747" s="211"/>
      <c r="D747" s="211"/>
    </row>
    <row r="748" ht="15.75" customHeight="1">
      <c r="A748" s="127"/>
      <c r="B748" s="211"/>
      <c r="D748" s="211"/>
    </row>
    <row r="749" ht="15.75" customHeight="1">
      <c r="A749" s="127"/>
      <c r="B749" s="211"/>
      <c r="D749" s="211"/>
    </row>
    <row r="750" ht="15.75" customHeight="1">
      <c r="A750" s="127"/>
      <c r="B750" s="211"/>
      <c r="D750" s="211"/>
    </row>
    <row r="751" ht="15.75" customHeight="1">
      <c r="A751" s="127"/>
      <c r="B751" s="211"/>
      <c r="D751" s="211"/>
    </row>
    <row r="752" ht="15.75" customHeight="1">
      <c r="A752" s="127"/>
      <c r="B752" s="211"/>
      <c r="D752" s="211"/>
    </row>
    <row r="753" ht="15.75" customHeight="1">
      <c r="A753" s="127"/>
      <c r="B753" s="211"/>
      <c r="D753" s="211"/>
    </row>
    <row r="754" ht="15.75" customHeight="1">
      <c r="A754" s="127"/>
      <c r="B754" s="211"/>
      <c r="D754" s="211"/>
    </row>
    <row r="755" ht="15.75" customHeight="1">
      <c r="A755" s="127"/>
      <c r="B755" s="211"/>
      <c r="D755" s="211"/>
    </row>
    <row r="756" ht="15.75" customHeight="1">
      <c r="A756" s="127"/>
      <c r="B756" s="211"/>
      <c r="D756" s="211"/>
    </row>
    <row r="757" ht="15.75" customHeight="1">
      <c r="A757" s="127"/>
      <c r="B757" s="211"/>
      <c r="D757" s="211"/>
    </row>
    <row r="758" ht="15.75" customHeight="1">
      <c r="A758" s="127"/>
      <c r="B758" s="211"/>
      <c r="D758" s="211"/>
    </row>
    <row r="759" ht="15.75" customHeight="1">
      <c r="A759" s="127"/>
      <c r="B759" s="211"/>
      <c r="D759" s="211"/>
    </row>
    <row r="760" ht="15.75" customHeight="1">
      <c r="A760" s="127"/>
      <c r="B760" s="211"/>
      <c r="D760" s="211"/>
    </row>
    <row r="761" ht="15.75" customHeight="1">
      <c r="A761" s="127"/>
      <c r="B761" s="211"/>
      <c r="D761" s="211"/>
    </row>
    <row r="762" ht="15.75" customHeight="1">
      <c r="A762" s="127"/>
      <c r="B762" s="211"/>
      <c r="D762" s="211"/>
    </row>
    <row r="763" ht="15.75" customHeight="1">
      <c r="A763" s="127"/>
      <c r="B763" s="211"/>
      <c r="D763" s="211"/>
    </row>
    <row r="764" ht="15.75" customHeight="1">
      <c r="A764" s="127"/>
      <c r="B764" s="211"/>
      <c r="D764" s="211"/>
    </row>
    <row r="765" ht="15.75" customHeight="1">
      <c r="A765" s="127"/>
      <c r="B765" s="211"/>
      <c r="D765" s="211"/>
    </row>
    <row r="766" ht="15.75" customHeight="1">
      <c r="A766" s="127"/>
      <c r="B766" s="211"/>
      <c r="D766" s="211"/>
    </row>
    <row r="767" ht="15.75" customHeight="1">
      <c r="A767" s="127"/>
      <c r="B767" s="211"/>
      <c r="D767" s="211"/>
    </row>
    <row r="768" ht="15.75" customHeight="1">
      <c r="A768" s="127"/>
      <c r="B768" s="211"/>
      <c r="D768" s="211"/>
    </row>
    <row r="769" ht="15.75" customHeight="1">
      <c r="A769" s="127"/>
      <c r="B769" s="211"/>
      <c r="D769" s="211"/>
    </row>
    <row r="770" ht="15.75" customHeight="1">
      <c r="A770" s="127"/>
      <c r="B770" s="211"/>
      <c r="D770" s="211"/>
    </row>
    <row r="771" ht="15.75" customHeight="1">
      <c r="A771" s="127"/>
      <c r="B771" s="211"/>
      <c r="D771" s="211"/>
    </row>
    <row r="772" ht="15.75" customHeight="1">
      <c r="A772" s="127"/>
      <c r="B772" s="211"/>
      <c r="D772" s="211"/>
    </row>
    <row r="773" ht="15.75" customHeight="1">
      <c r="A773" s="127"/>
      <c r="B773" s="211"/>
      <c r="D773" s="211"/>
    </row>
    <row r="774" ht="15.75" customHeight="1">
      <c r="A774" s="127"/>
      <c r="B774" s="211"/>
      <c r="D774" s="211"/>
    </row>
    <row r="775" ht="15.75" customHeight="1">
      <c r="A775" s="127"/>
      <c r="B775" s="211"/>
      <c r="D775" s="211"/>
    </row>
    <row r="776" ht="15.75" customHeight="1">
      <c r="A776" s="127"/>
      <c r="B776" s="211"/>
      <c r="D776" s="211"/>
    </row>
    <row r="777" ht="15.75" customHeight="1">
      <c r="A777" s="127"/>
      <c r="B777" s="211"/>
      <c r="D777" s="211"/>
    </row>
    <row r="778" ht="15.75" customHeight="1">
      <c r="A778" s="127"/>
      <c r="B778" s="211"/>
      <c r="D778" s="211"/>
    </row>
    <row r="779" ht="15.75" customHeight="1">
      <c r="A779" s="127"/>
      <c r="B779" s="211"/>
      <c r="D779" s="211"/>
    </row>
    <row r="780" ht="15.75" customHeight="1">
      <c r="A780" s="127"/>
      <c r="B780" s="211"/>
      <c r="D780" s="211"/>
    </row>
    <row r="781" ht="15.75" customHeight="1">
      <c r="A781" s="127"/>
      <c r="B781" s="211"/>
      <c r="D781" s="211"/>
    </row>
    <row r="782" ht="15.75" customHeight="1">
      <c r="A782" s="127"/>
      <c r="B782" s="211"/>
      <c r="D782" s="211"/>
    </row>
    <row r="783" ht="15.75" customHeight="1">
      <c r="A783" s="127"/>
      <c r="B783" s="211"/>
      <c r="D783" s="211"/>
    </row>
    <row r="784" ht="15.75" customHeight="1">
      <c r="A784" s="127"/>
      <c r="B784" s="211"/>
      <c r="D784" s="211"/>
    </row>
    <row r="785" ht="15.75" customHeight="1">
      <c r="A785" s="127"/>
      <c r="B785" s="211"/>
      <c r="D785" s="211"/>
    </row>
    <row r="786" ht="15.75" customHeight="1">
      <c r="A786" s="127"/>
      <c r="B786" s="211"/>
      <c r="D786" s="211"/>
    </row>
    <row r="787" ht="15.75" customHeight="1">
      <c r="A787" s="127"/>
      <c r="B787" s="211"/>
      <c r="D787" s="211"/>
    </row>
    <row r="788" ht="15.75" customHeight="1">
      <c r="A788" s="127"/>
      <c r="B788" s="211"/>
      <c r="D788" s="211"/>
    </row>
    <row r="789" ht="15.75" customHeight="1">
      <c r="A789" s="127"/>
      <c r="B789" s="211"/>
      <c r="D789" s="211"/>
    </row>
    <row r="790" ht="15.75" customHeight="1">
      <c r="A790" s="127"/>
      <c r="B790" s="211"/>
      <c r="D790" s="211"/>
    </row>
    <row r="791" ht="15.75" customHeight="1">
      <c r="A791" s="127"/>
      <c r="B791" s="211"/>
      <c r="D791" s="211"/>
    </row>
    <row r="792" ht="15.75" customHeight="1">
      <c r="A792" s="127"/>
      <c r="B792" s="211"/>
      <c r="D792" s="211"/>
    </row>
    <row r="793" ht="15.75" customHeight="1">
      <c r="A793" s="127"/>
      <c r="B793" s="211"/>
      <c r="D793" s="211"/>
    </row>
    <row r="794" ht="15.75" customHeight="1">
      <c r="A794" s="127"/>
      <c r="B794" s="211"/>
      <c r="D794" s="211"/>
    </row>
    <row r="795" ht="15.75" customHeight="1">
      <c r="A795" s="127"/>
      <c r="B795" s="211"/>
      <c r="D795" s="211"/>
    </row>
    <row r="796" ht="15.75" customHeight="1">
      <c r="A796" s="127"/>
      <c r="B796" s="211"/>
      <c r="D796" s="211"/>
    </row>
    <row r="797" ht="15.75" customHeight="1">
      <c r="A797" s="127"/>
      <c r="B797" s="211"/>
      <c r="D797" s="211"/>
    </row>
    <row r="798" ht="15.75" customHeight="1">
      <c r="A798" s="127"/>
      <c r="B798" s="211"/>
      <c r="D798" s="211"/>
    </row>
    <row r="799" ht="15.75" customHeight="1">
      <c r="A799" s="127"/>
      <c r="B799" s="211"/>
      <c r="D799" s="211"/>
    </row>
    <row r="800" ht="15.75" customHeight="1">
      <c r="A800" s="127"/>
      <c r="B800" s="211"/>
      <c r="D800" s="211"/>
    </row>
    <row r="801" ht="15.75" customHeight="1">
      <c r="A801" s="127"/>
      <c r="B801" s="211"/>
      <c r="D801" s="211"/>
    </row>
    <row r="802" ht="15.75" customHeight="1">
      <c r="A802" s="127"/>
      <c r="B802" s="211"/>
      <c r="D802" s="211"/>
    </row>
    <row r="803" ht="15.75" customHeight="1">
      <c r="A803" s="127"/>
      <c r="B803" s="211"/>
      <c r="D803" s="211"/>
    </row>
    <row r="804" ht="15.75" customHeight="1">
      <c r="A804" s="127"/>
      <c r="B804" s="211"/>
      <c r="D804" s="211"/>
    </row>
    <row r="805" ht="15.75" customHeight="1">
      <c r="A805" s="127"/>
      <c r="B805" s="211"/>
      <c r="D805" s="211"/>
    </row>
    <row r="806" ht="15.75" customHeight="1">
      <c r="A806" s="127"/>
      <c r="B806" s="211"/>
      <c r="D806" s="211"/>
    </row>
    <row r="807" ht="15.75" customHeight="1">
      <c r="A807" s="127"/>
      <c r="B807" s="211"/>
      <c r="D807" s="211"/>
    </row>
    <row r="808" ht="15.75" customHeight="1">
      <c r="A808" s="127"/>
      <c r="B808" s="211"/>
      <c r="D808" s="211"/>
    </row>
    <row r="809" ht="15.75" customHeight="1">
      <c r="A809" s="127"/>
      <c r="B809" s="211"/>
      <c r="D809" s="211"/>
    </row>
    <row r="810" ht="15.75" customHeight="1">
      <c r="A810" s="127"/>
      <c r="B810" s="211"/>
      <c r="D810" s="211"/>
    </row>
    <row r="811" ht="15.75" customHeight="1">
      <c r="A811" s="127"/>
      <c r="B811" s="211"/>
      <c r="D811" s="211"/>
    </row>
    <row r="812" ht="15.75" customHeight="1">
      <c r="A812" s="127"/>
      <c r="B812" s="211"/>
      <c r="D812" s="211"/>
    </row>
    <row r="813" ht="15.75" customHeight="1">
      <c r="A813" s="127"/>
      <c r="B813" s="211"/>
      <c r="D813" s="211"/>
    </row>
    <row r="814" ht="15.75" customHeight="1">
      <c r="A814" s="127"/>
      <c r="B814" s="211"/>
      <c r="D814" s="211"/>
    </row>
    <row r="815" ht="15.75" customHeight="1">
      <c r="A815" s="127"/>
      <c r="B815" s="211"/>
      <c r="D815" s="211"/>
    </row>
    <row r="816" ht="15.75" customHeight="1">
      <c r="A816" s="127"/>
      <c r="B816" s="211"/>
      <c r="D816" s="211"/>
    </row>
    <row r="817" ht="15.75" customHeight="1">
      <c r="A817" s="127"/>
      <c r="B817" s="211"/>
      <c r="D817" s="211"/>
    </row>
    <row r="818" ht="15.75" customHeight="1">
      <c r="A818" s="127"/>
      <c r="B818" s="211"/>
      <c r="D818" s="211"/>
    </row>
    <row r="819" ht="15.75" customHeight="1">
      <c r="A819" s="127"/>
      <c r="B819" s="211"/>
      <c r="D819" s="211"/>
    </row>
    <row r="820" ht="15.75" customHeight="1">
      <c r="A820" s="127"/>
      <c r="B820" s="211"/>
      <c r="D820" s="211"/>
    </row>
    <row r="821" ht="15.75" customHeight="1">
      <c r="A821" s="127"/>
      <c r="B821" s="211"/>
      <c r="D821" s="211"/>
    </row>
    <row r="822" ht="15.75" customHeight="1">
      <c r="A822" s="127"/>
      <c r="B822" s="211"/>
      <c r="D822" s="211"/>
    </row>
    <row r="823" ht="15.75" customHeight="1">
      <c r="A823" s="127"/>
      <c r="B823" s="211"/>
      <c r="D823" s="211"/>
    </row>
    <row r="824" ht="15.75" customHeight="1">
      <c r="A824" s="127"/>
      <c r="B824" s="211"/>
      <c r="D824" s="211"/>
    </row>
    <row r="825" ht="15.75" customHeight="1">
      <c r="A825" s="127"/>
      <c r="B825" s="211"/>
      <c r="D825" s="211"/>
    </row>
    <row r="826" ht="15.75" customHeight="1">
      <c r="A826" s="127"/>
      <c r="B826" s="211"/>
      <c r="D826" s="211"/>
    </row>
    <row r="827" ht="15.75" customHeight="1">
      <c r="A827" s="127"/>
      <c r="B827" s="211"/>
      <c r="D827" s="211"/>
    </row>
    <row r="828" ht="15.75" customHeight="1">
      <c r="A828" s="127"/>
      <c r="B828" s="211"/>
      <c r="D828" s="211"/>
    </row>
    <row r="829" ht="15.75" customHeight="1">
      <c r="A829" s="127"/>
      <c r="B829" s="211"/>
      <c r="D829" s="211"/>
    </row>
    <row r="830" ht="15.75" customHeight="1">
      <c r="A830" s="127"/>
      <c r="B830" s="211"/>
      <c r="D830" s="211"/>
    </row>
    <row r="831" ht="15.75" customHeight="1">
      <c r="A831" s="127"/>
      <c r="B831" s="211"/>
      <c r="D831" s="211"/>
    </row>
    <row r="832" ht="15.75" customHeight="1">
      <c r="A832" s="127"/>
      <c r="B832" s="211"/>
      <c r="D832" s="211"/>
    </row>
    <row r="833" ht="15.75" customHeight="1">
      <c r="A833" s="127"/>
      <c r="B833" s="211"/>
      <c r="D833" s="211"/>
    </row>
    <row r="834" ht="15.75" customHeight="1">
      <c r="A834" s="127"/>
      <c r="B834" s="211"/>
      <c r="D834" s="211"/>
    </row>
    <row r="835" ht="15.75" customHeight="1">
      <c r="A835" s="127"/>
      <c r="B835" s="211"/>
      <c r="D835" s="211"/>
    </row>
    <row r="836" ht="15.75" customHeight="1">
      <c r="A836" s="127"/>
      <c r="B836" s="211"/>
      <c r="D836" s="211"/>
    </row>
    <row r="837" ht="15.75" customHeight="1">
      <c r="A837" s="127"/>
      <c r="B837" s="211"/>
      <c r="D837" s="211"/>
    </row>
    <row r="838" ht="15.75" customHeight="1">
      <c r="A838" s="127"/>
      <c r="B838" s="211"/>
      <c r="D838" s="211"/>
    </row>
    <row r="839" ht="15.75" customHeight="1">
      <c r="A839" s="127"/>
      <c r="B839" s="211"/>
      <c r="D839" s="211"/>
    </row>
    <row r="840" ht="15.75" customHeight="1">
      <c r="A840" s="127"/>
      <c r="B840" s="211"/>
      <c r="D840" s="211"/>
    </row>
    <row r="841" ht="15.75" customHeight="1">
      <c r="A841" s="127"/>
      <c r="B841" s="211"/>
      <c r="D841" s="211"/>
    </row>
    <row r="842" ht="15.75" customHeight="1">
      <c r="A842" s="127"/>
      <c r="B842" s="211"/>
      <c r="D842" s="211"/>
    </row>
    <row r="843" ht="15.75" customHeight="1">
      <c r="A843" s="127"/>
      <c r="B843" s="211"/>
      <c r="D843" s="211"/>
    </row>
    <row r="844" ht="15.75" customHeight="1">
      <c r="A844" s="127"/>
      <c r="B844" s="211"/>
      <c r="D844" s="211"/>
    </row>
    <row r="845" ht="15.75" customHeight="1">
      <c r="A845" s="127"/>
      <c r="B845" s="211"/>
      <c r="D845" s="211"/>
    </row>
    <row r="846" ht="15.75" customHeight="1">
      <c r="A846" s="127"/>
      <c r="B846" s="211"/>
      <c r="D846" s="211"/>
    </row>
    <row r="847" ht="15.75" customHeight="1">
      <c r="A847" s="127"/>
      <c r="B847" s="211"/>
      <c r="D847" s="211"/>
    </row>
    <row r="848" ht="15.75" customHeight="1">
      <c r="A848" s="127"/>
      <c r="B848" s="211"/>
      <c r="D848" s="211"/>
    </row>
    <row r="849" ht="15.75" customHeight="1">
      <c r="A849" s="127"/>
      <c r="B849" s="211"/>
      <c r="D849" s="211"/>
    </row>
    <row r="850" ht="15.75" customHeight="1">
      <c r="A850" s="127"/>
      <c r="B850" s="211"/>
      <c r="D850" s="211"/>
    </row>
    <row r="851" ht="15.75" customHeight="1">
      <c r="A851" s="127"/>
      <c r="B851" s="211"/>
      <c r="D851" s="211"/>
    </row>
    <row r="852" ht="15.75" customHeight="1">
      <c r="A852" s="127"/>
      <c r="B852" s="211"/>
      <c r="D852" s="211"/>
    </row>
    <row r="853" ht="15.75" customHeight="1">
      <c r="A853" s="127"/>
      <c r="B853" s="211"/>
      <c r="D853" s="211"/>
    </row>
    <row r="854" ht="15.75" customHeight="1">
      <c r="A854" s="127"/>
      <c r="B854" s="211"/>
      <c r="D854" s="211"/>
    </row>
    <row r="855" ht="15.75" customHeight="1">
      <c r="A855" s="127"/>
      <c r="B855" s="211"/>
      <c r="D855" s="211"/>
    </row>
    <row r="856" ht="15.75" customHeight="1">
      <c r="A856" s="127"/>
      <c r="B856" s="211"/>
      <c r="D856" s="211"/>
    </row>
    <row r="857" ht="15.75" customHeight="1">
      <c r="A857" s="127"/>
      <c r="B857" s="211"/>
      <c r="D857" s="211"/>
    </row>
    <row r="858" ht="15.75" customHeight="1">
      <c r="A858" s="127"/>
      <c r="B858" s="211"/>
      <c r="D858" s="211"/>
    </row>
    <row r="859" ht="15.75" customHeight="1">
      <c r="A859" s="127"/>
      <c r="B859" s="211"/>
      <c r="D859" s="211"/>
    </row>
    <row r="860" ht="15.75" customHeight="1">
      <c r="A860" s="127"/>
      <c r="B860" s="211"/>
      <c r="D860" s="211"/>
    </row>
    <row r="861" ht="15.75" customHeight="1">
      <c r="A861" s="127"/>
      <c r="B861" s="211"/>
      <c r="D861" s="211"/>
    </row>
    <row r="862" ht="15.75" customHeight="1">
      <c r="A862" s="127"/>
      <c r="B862" s="211"/>
      <c r="D862" s="211"/>
    </row>
    <row r="863" ht="15.75" customHeight="1">
      <c r="A863" s="127"/>
      <c r="B863" s="211"/>
      <c r="D863" s="211"/>
    </row>
    <row r="864" ht="15.75" customHeight="1">
      <c r="A864" s="127"/>
      <c r="B864" s="211"/>
      <c r="D864" s="211"/>
    </row>
    <row r="865" ht="15.75" customHeight="1">
      <c r="A865" s="127"/>
      <c r="B865" s="211"/>
      <c r="D865" s="211"/>
    </row>
    <row r="866" ht="15.75" customHeight="1">
      <c r="A866" s="127"/>
      <c r="B866" s="211"/>
      <c r="D866" s="211"/>
    </row>
    <row r="867" ht="15.75" customHeight="1">
      <c r="A867" s="127"/>
      <c r="B867" s="211"/>
      <c r="D867" s="211"/>
    </row>
    <row r="868" ht="15.75" customHeight="1">
      <c r="A868" s="127"/>
      <c r="B868" s="211"/>
      <c r="D868" s="211"/>
    </row>
    <row r="869" ht="15.75" customHeight="1">
      <c r="A869" s="127"/>
      <c r="B869" s="211"/>
      <c r="D869" s="211"/>
    </row>
    <row r="870" ht="15.75" customHeight="1">
      <c r="A870" s="127"/>
      <c r="B870" s="211"/>
      <c r="D870" s="211"/>
    </row>
    <row r="871" ht="15.75" customHeight="1">
      <c r="A871" s="127"/>
      <c r="B871" s="211"/>
      <c r="D871" s="211"/>
    </row>
    <row r="872" ht="15.75" customHeight="1">
      <c r="A872" s="127"/>
      <c r="B872" s="211"/>
      <c r="D872" s="211"/>
    </row>
    <row r="873" ht="15.75" customHeight="1">
      <c r="A873" s="127"/>
      <c r="B873" s="211"/>
      <c r="D873" s="211"/>
    </row>
    <row r="874" ht="15.75" customHeight="1">
      <c r="A874" s="127"/>
      <c r="B874" s="211"/>
      <c r="D874" s="211"/>
    </row>
    <row r="875" ht="15.75" customHeight="1">
      <c r="A875" s="127"/>
      <c r="B875" s="211"/>
      <c r="D875" s="211"/>
    </row>
    <row r="876" ht="15.75" customHeight="1">
      <c r="A876" s="127"/>
      <c r="B876" s="211"/>
      <c r="D876" s="211"/>
    </row>
    <row r="877" ht="15.75" customHeight="1">
      <c r="A877" s="127"/>
      <c r="B877" s="211"/>
      <c r="D877" s="211"/>
    </row>
    <row r="878" ht="15.75" customHeight="1">
      <c r="A878" s="127"/>
      <c r="B878" s="211"/>
      <c r="D878" s="211"/>
    </row>
    <row r="879" ht="15.75" customHeight="1">
      <c r="A879" s="127"/>
      <c r="B879" s="211"/>
      <c r="D879" s="211"/>
    </row>
    <row r="880" ht="15.75" customHeight="1">
      <c r="A880" s="127"/>
      <c r="B880" s="211"/>
      <c r="D880" s="211"/>
    </row>
    <row r="881" ht="15.75" customHeight="1">
      <c r="A881" s="127"/>
      <c r="B881" s="211"/>
      <c r="D881" s="211"/>
    </row>
    <row r="882" ht="15.75" customHeight="1">
      <c r="A882" s="127"/>
      <c r="B882" s="211"/>
      <c r="D882" s="211"/>
    </row>
    <row r="883" ht="15.75" customHeight="1">
      <c r="A883" s="127"/>
      <c r="B883" s="211"/>
      <c r="D883" s="211"/>
    </row>
    <row r="884" ht="15.75" customHeight="1">
      <c r="A884" s="127"/>
      <c r="B884" s="211"/>
      <c r="D884" s="211"/>
    </row>
    <row r="885" ht="15.75" customHeight="1">
      <c r="A885" s="127"/>
      <c r="B885" s="211"/>
      <c r="D885" s="211"/>
    </row>
    <row r="886" ht="15.75" customHeight="1">
      <c r="A886" s="127"/>
      <c r="B886" s="211"/>
      <c r="D886" s="211"/>
    </row>
    <row r="887" ht="15.75" customHeight="1">
      <c r="A887" s="127"/>
      <c r="B887" s="211"/>
      <c r="D887" s="211"/>
    </row>
    <row r="888" ht="15.75" customHeight="1">
      <c r="A888" s="127"/>
      <c r="B888" s="211"/>
      <c r="D888" s="211"/>
    </row>
    <row r="889" ht="15.75" customHeight="1">
      <c r="A889" s="127"/>
      <c r="B889" s="211"/>
      <c r="D889" s="211"/>
    </row>
    <row r="890" ht="15.75" customHeight="1">
      <c r="A890" s="127"/>
      <c r="B890" s="211"/>
      <c r="D890" s="211"/>
    </row>
    <row r="891" ht="15.75" customHeight="1">
      <c r="A891" s="127"/>
      <c r="B891" s="211"/>
      <c r="D891" s="211"/>
    </row>
    <row r="892" ht="15.75" customHeight="1">
      <c r="A892" s="127"/>
      <c r="B892" s="211"/>
      <c r="D892" s="211"/>
    </row>
    <row r="893" ht="15.75" customHeight="1">
      <c r="A893" s="127"/>
      <c r="B893" s="211"/>
      <c r="D893" s="211"/>
    </row>
    <row r="894" ht="15.75" customHeight="1">
      <c r="A894" s="127"/>
      <c r="B894" s="211"/>
      <c r="D894" s="211"/>
    </row>
    <row r="895" ht="15.75" customHeight="1">
      <c r="A895" s="127"/>
      <c r="B895" s="211"/>
      <c r="D895" s="211"/>
    </row>
    <row r="896" ht="15.75" customHeight="1">
      <c r="A896" s="127"/>
      <c r="B896" s="211"/>
      <c r="D896" s="211"/>
    </row>
    <row r="897" ht="15.75" customHeight="1">
      <c r="A897" s="127"/>
      <c r="B897" s="211"/>
      <c r="D897" s="211"/>
    </row>
    <row r="898" ht="15.75" customHeight="1">
      <c r="A898" s="127"/>
      <c r="B898" s="211"/>
      <c r="D898" s="211"/>
    </row>
    <row r="899" ht="15.75" customHeight="1">
      <c r="A899" s="127"/>
      <c r="B899" s="211"/>
      <c r="D899" s="211"/>
    </row>
    <row r="900" ht="15.75" customHeight="1">
      <c r="A900" s="127"/>
      <c r="B900" s="211"/>
      <c r="D900" s="211"/>
    </row>
    <row r="901" ht="15.75" customHeight="1">
      <c r="A901" s="127"/>
      <c r="B901" s="211"/>
      <c r="D901" s="211"/>
    </row>
    <row r="902" ht="15.75" customHeight="1">
      <c r="A902" s="127"/>
      <c r="B902" s="211"/>
      <c r="D902" s="211"/>
    </row>
    <row r="903" ht="15.75" customHeight="1">
      <c r="A903" s="127"/>
      <c r="B903" s="211"/>
      <c r="D903" s="211"/>
    </row>
    <row r="904" ht="15.75" customHeight="1">
      <c r="A904" s="127"/>
      <c r="B904" s="211"/>
      <c r="D904" s="211"/>
    </row>
    <row r="905" ht="15.75" customHeight="1">
      <c r="A905" s="127"/>
      <c r="B905" s="211"/>
      <c r="D905" s="211"/>
    </row>
    <row r="906" ht="15.75" customHeight="1">
      <c r="A906" s="127"/>
      <c r="B906" s="211"/>
      <c r="D906" s="211"/>
    </row>
    <row r="907" ht="15.75" customHeight="1">
      <c r="A907" s="127"/>
      <c r="B907" s="211"/>
      <c r="D907" s="211"/>
    </row>
    <row r="908" ht="15.75" customHeight="1">
      <c r="A908" s="127"/>
      <c r="B908" s="211"/>
      <c r="D908" s="211"/>
    </row>
    <row r="909" ht="15.75" customHeight="1">
      <c r="A909" s="127"/>
      <c r="B909" s="211"/>
      <c r="D909" s="211"/>
    </row>
    <row r="910" ht="15.75" customHeight="1">
      <c r="A910" s="127"/>
      <c r="B910" s="211"/>
      <c r="D910" s="211"/>
    </row>
    <row r="911" ht="15.75" customHeight="1">
      <c r="A911" s="127"/>
      <c r="B911" s="211"/>
      <c r="D911" s="211"/>
    </row>
    <row r="912" ht="15.75" customHeight="1">
      <c r="A912" s="127"/>
      <c r="B912" s="211"/>
      <c r="D912" s="211"/>
    </row>
    <row r="913" ht="15.75" customHeight="1">
      <c r="A913" s="127"/>
      <c r="B913" s="211"/>
      <c r="D913" s="211"/>
    </row>
    <row r="914" ht="15.75" customHeight="1">
      <c r="A914" s="127"/>
      <c r="B914" s="211"/>
      <c r="D914" s="211"/>
    </row>
    <row r="915" ht="15.75" customHeight="1">
      <c r="A915" s="127"/>
      <c r="B915" s="211"/>
      <c r="D915" s="211"/>
    </row>
    <row r="916" ht="15.75" customHeight="1">
      <c r="A916" s="127"/>
      <c r="B916" s="211"/>
      <c r="D916" s="211"/>
    </row>
    <row r="917" ht="15.75" customHeight="1">
      <c r="A917" s="127"/>
      <c r="B917" s="211"/>
      <c r="D917" s="211"/>
    </row>
    <row r="918" ht="15.75" customHeight="1">
      <c r="A918" s="127"/>
      <c r="B918" s="211"/>
      <c r="D918" s="211"/>
    </row>
    <row r="919" ht="15.75" customHeight="1">
      <c r="A919" s="127"/>
      <c r="B919" s="211"/>
      <c r="D919" s="211"/>
    </row>
    <row r="920" ht="15.75" customHeight="1">
      <c r="A920" s="127"/>
      <c r="B920" s="211"/>
      <c r="D920" s="211"/>
    </row>
    <row r="921" ht="15.75" customHeight="1">
      <c r="A921" s="127"/>
      <c r="B921" s="211"/>
      <c r="D921" s="211"/>
    </row>
    <row r="922" ht="15.75" customHeight="1">
      <c r="A922" s="127"/>
      <c r="B922" s="211"/>
      <c r="D922" s="211"/>
    </row>
    <row r="923" ht="15.75" customHeight="1">
      <c r="A923" s="127"/>
      <c r="B923" s="211"/>
      <c r="D923" s="211"/>
    </row>
    <row r="924" ht="15.75" customHeight="1">
      <c r="A924" s="127"/>
      <c r="B924" s="211"/>
      <c r="D924" s="211"/>
    </row>
    <row r="925" ht="15.75" customHeight="1">
      <c r="A925" s="127"/>
      <c r="B925" s="211"/>
      <c r="D925" s="211"/>
    </row>
    <row r="926" ht="15.75" customHeight="1">
      <c r="A926" s="127"/>
      <c r="B926" s="211"/>
      <c r="D926" s="211"/>
    </row>
    <row r="927" ht="15.75" customHeight="1">
      <c r="A927" s="127"/>
      <c r="B927" s="211"/>
      <c r="D927" s="211"/>
    </row>
    <row r="928" ht="15.75" customHeight="1">
      <c r="A928" s="127"/>
      <c r="B928" s="211"/>
      <c r="D928" s="211"/>
    </row>
    <row r="929" ht="15.75" customHeight="1">
      <c r="A929" s="127"/>
      <c r="B929" s="211"/>
      <c r="D929" s="211"/>
    </row>
    <row r="930" ht="15.75" customHeight="1">
      <c r="A930" s="127"/>
      <c r="B930" s="211"/>
      <c r="D930" s="211"/>
    </row>
    <row r="931" ht="15.75" customHeight="1">
      <c r="A931" s="127"/>
      <c r="B931" s="211"/>
      <c r="D931" s="211"/>
    </row>
    <row r="932" ht="15.75" customHeight="1">
      <c r="A932" s="127"/>
      <c r="B932" s="211"/>
      <c r="D932" s="211"/>
    </row>
    <row r="933" ht="15.75" customHeight="1">
      <c r="A933" s="127"/>
      <c r="B933" s="211"/>
      <c r="D933" s="211"/>
    </row>
    <row r="934" ht="15.75" customHeight="1">
      <c r="A934" s="127"/>
      <c r="B934" s="211"/>
      <c r="D934" s="211"/>
    </row>
    <row r="935" ht="15.75" customHeight="1">
      <c r="A935" s="127"/>
      <c r="B935" s="211"/>
      <c r="D935" s="211"/>
    </row>
    <row r="936" ht="15.75" customHeight="1">
      <c r="A936" s="127"/>
      <c r="B936" s="211"/>
      <c r="D936" s="211"/>
    </row>
    <row r="937" ht="15.75" customHeight="1">
      <c r="A937" s="127"/>
      <c r="B937" s="211"/>
      <c r="D937" s="211"/>
    </row>
    <row r="938" ht="15.75" customHeight="1">
      <c r="A938" s="127"/>
      <c r="B938" s="211"/>
      <c r="D938" s="211"/>
    </row>
    <row r="939" ht="15.75" customHeight="1">
      <c r="A939" s="127"/>
      <c r="B939" s="211"/>
      <c r="D939" s="211"/>
    </row>
    <row r="940" ht="15.75" customHeight="1">
      <c r="A940" s="127"/>
      <c r="B940" s="211"/>
      <c r="D940" s="211"/>
    </row>
    <row r="941" ht="15.75" customHeight="1">
      <c r="A941" s="127"/>
      <c r="B941" s="211"/>
      <c r="D941" s="211"/>
    </row>
    <row r="942" ht="15.75" customHeight="1">
      <c r="A942" s="127"/>
      <c r="B942" s="211"/>
      <c r="D942" s="211"/>
    </row>
    <row r="943" ht="15.75" customHeight="1">
      <c r="A943" s="127"/>
      <c r="B943" s="211"/>
      <c r="D943" s="211"/>
    </row>
    <row r="944" ht="15.75" customHeight="1">
      <c r="A944" s="127"/>
      <c r="B944" s="211"/>
      <c r="D944" s="211"/>
    </row>
    <row r="945" ht="15.75" customHeight="1">
      <c r="A945" s="127"/>
      <c r="B945" s="211"/>
      <c r="D945" s="211"/>
    </row>
    <row r="946" ht="15.75" customHeight="1">
      <c r="A946" s="127"/>
      <c r="B946" s="211"/>
      <c r="D946" s="211"/>
    </row>
    <row r="947" ht="15.75" customHeight="1">
      <c r="A947" s="127"/>
      <c r="B947" s="211"/>
      <c r="D947" s="211"/>
    </row>
    <row r="948" ht="15.75" customHeight="1">
      <c r="A948" s="127"/>
      <c r="B948" s="211"/>
      <c r="D948" s="211"/>
    </row>
    <row r="949" ht="15.75" customHeight="1">
      <c r="A949" s="127"/>
      <c r="B949" s="211"/>
      <c r="D949" s="211"/>
    </row>
    <row r="950" ht="15.75" customHeight="1">
      <c r="A950" s="127"/>
      <c r="B950" s="211"/>
      <c r="D950" s="211"/>
    </row>
    <row r="951" ht="15.75" customHeight="1">
      <c r="A951" s="127"/>
      <c r="B951" s="211"/>
      <c r="D951" s="211"/>
    </row>
    <row r="952" ht="15.75" customHeight="1">
      <c r="A952" s="127"/>
      <c r="B952" s="211"/>
      <c r="D952" s="211"/>
    </row>
    <row r="953" ht="15.75" customHeight="1">
      <c r="A953" s="127"/>
      <c r="B953" s="211"/>
      <c r="D953" s="211"/>
    </row>
    <row r="954" ht="15.75" customHeight="1">
      <c r="A954" s="127"/>
      <c r="B954" s="211"/>
      <c r="D954" s="211"/>
    </row>
    <row r="955" ht="15.75" customHeight="1">
      <c r="A955" s="127"/>
      <c r="B955" s="211"/>
      <c r="D955" s="211"/>
    </row>
    <row r="956" ht="15.75" customHeight="1">
      <c r="A956" s="127"/>
      <c r="B956" s="211"/>
      <c r="D956" s="211"/>
    </row>
    <row r="957" ht="15.75" customHeight="1">
      <c r="A957" s="127"/>
      <c r="B957" s="211"/>
      <c r="D957" s="211"/>
    </row>
    <row r="958" ht="15.75" customHeight="1">
      <c r="A958" s="127"/>
      <c r="B958" s="211"/>
      <c r="D958" s="211"/>
    </row>
    <row r="959" ht="15.75" customHeight="1">
      <c r="A959" s="127"/>
      <c r="B959" s="211"/>
      <c r="D959" s="211"/>
    </row>
    <row r="960" ht="15.75" customHeight="1">
      <c r="A960" s="127"/>
      <c r="B960" s="211"/>
      <c r="D960" s="211"/>
    </row>
    <row r="961" ht="15.75" customHeight="1">
      <c r="A961" s="127"/>
      <c r="B961" s="211"/>
      <c r="D961" s="211"/>
    </row>
    <row r="962" ht="15.75" customHeight="1">
      <c r="A962" s="127"/>
      <c r="B962" s="211"/>
      <c r="D962" s="211"/>
    </row>
    <row r="963" ht="15.75" customHeight="1">
      <c r="A963" s="127"/>
      <c r="B963" s="211"/>
      <c r="D963" s="211"/>
    </row>
    <row r="964" ht="15.75" customHeight="1">
      <c r="A964" s="127"/>
      <c r="B964" s="211"/>
      <c r="D964" s="211"/>
    </row>
    <row r="965" ht="15.75" customHeight="1">
      <c r="A965" s="127"/>
      <c r="B965" s="211"/>
      <c r="D965" s="211"/>
    </row>
    <row r="966" ht="15.75" customHeight="1">
      <c r="A966" s="127"/>
      <c r="B966" s="211"/>
      <c r="D966" s="211"/>
    </row>
    <row r="967" ht="15.75" customHeight="1">
      <c r="A967" s="127"/>
      <c r="B967" s="211"/>
      <c r="D967" s="211"/>
    </row>
    <row r="968" ht="15.75" customHeight="1">
      <c r="A968" s="127"/>
      <c r="B968" s="211"/>
      <c r="D968" s="211"/>
    </row>
    <row r="969" ht="15.75" customHeight="1">
      <c r="A969" s="127"/>
      <c r="B969" s="211"/>
      <c r="D969" s="211"/>
    </row>
    <row r="970" ht="15.75" customHeight="1">
      <c r="A970" s="127"/>
      <c r="B970" s="211"/>
      <c r="D970" s="211"/>
    </row>
    <row r="971" ht="15.75" customHeight="1">
      <c r="A971" s="127"/>
      <c r="B971" s="211"/>
      <c r="D971" s="211"/>
    </row>
    <row r="972" ht="15.75" customHeight="1">
      <c r="A972" s="127"/>
      <c r="B972" s="211"/>
      <c r="D972" s="211"/>
    </row>
    <row r="973" ht="15.75" customHeight="1">
      <c r="A973" s="127"/>
      <c r="B973" s="211"/>
      <c r="D973" s="211"/>
    </row>
    <row r="974" ht="15.75" customHeight="1">
      <c r="A974" s="127"/>
      <c r="B974" s="211"/>
      <c r="D974" s="211"/>
    </row>
    <row r="975" ht="15.75" customHeight="1">
      <c r="A975" s="127"/>
      <c r="B975" s="211"/>
      <c r="D975" s="211"/>
    </row>
    <row r="976" ht="15.75" customHeight="1">
      <c r="A976" s="127"/>
      <c r="B976" s="211"/>
      <c r="D976" s="211"/>
    </row>
    <row r="977" ht="15.75" customHeight="1">
      <c r="A977" s="127"/>
      <c r="B977" s="211"/>
      <c r="D977" s="211"/>
    </row>
    <row r="978" ht="15.75" customHeight="1">
      <c r="A978" s="127"/>
      <c r="B978" s="211"/>
      <c r="D978" s="211"/>
    </row>
    <row r="979" ht="15.75" customHeight="1">
      <c r="A979" s="127"/>
      <c r="B979" s="211"/>
      <c r="D979" s="211"/>
    </row>
    <row r="980" ht="15.75" customHeight="1">
      <c r="A980" s="127"/>
      <c r="B980" s="211"/>
      <c r="D980" s="211"/>
    </row>
    <row r="981" ht="15.75" customHeight="1">
      <c r="A981" s="127"/>
      <c r="B981" s="211"/>
      <c r="D981" s="211"/>
    </row>
    <row r="982" ht="15.75" customHeight="1">
      <c r="A982" s="127"/>
      <c r="B982" s="211"/>
      <c r="D982" s="211"/>
    </row>
    <row r="983" ht="15.75" customHeight="1">
      <c r="A983" s="127"/>
      <c r="B983" s="211"/>
      <c r="D983" s="211"/>
    </row>
    <row r="984" ht="15.75" customHeight="1">
      <c r="A984" s="127"/>
      <c r="B984" s="211"/>
      <c r="D984" s="211"/>
    </row>
    <row r="985" ht="15.75" customHeight="1">
      <c r="A985" s="127"/>
      <c r="B985" s="211"/>
      <c r="D985" s="211"/>
    </row>
    <row r="986" ht="15.75" customHeight="1">
      <c r="A986" s="127"/>
      <c r="B986" s="211"/>
      <c r="D986" s="211"/>
    </row>
    <row r="987" ht="15.75" customHeight="1">
      <c r="A987" s="127"/>
      <c r="B987" s="211"/>
      <c r="D987" s="211"/>
    </row>
    <row r="988" ht="15.75" customHeight="1">
      <c r="A988" s="127"/>
      <c r="B988" s="211"/>
      <c r="D988" s="211"/>
    </row>
    <row r="989" ht="15.75" customHeight="1">
      <c r="A989" s="127"/>
      <c r="B989" s="211"/>
      <c r="D989" s="211"/>
    </row>
    <row r="990" ht="15.75" customHeight="1">
      <c r="A990" s="127"/>
      <c r="B990" s="211"/>
      <c r="D990" s="211"/>
    </row>
    <row r="991" ht="15.75" customHeight="1">
      <c r="A991" s="127"/>
      <c r="B991" s="211"/>
      <c r="D991" s="211"/>
    </row>
    <row r="992" ht="15.75" customHeight="1">
      <c r="A992" s="127"/>
      <c r="B992" s="211"/>
      <c r="D992" s="211"/>
    </row>
    <row r="993" ht="15.75" customHeight="1">
      <c r="A993" s="127"/>
      <c r="B993" s="211"/>
      <c r="D993" s="211"/>
    </row>
    <row r="994" ht="15.75" customHeight="1">
      <c r="A994" s="127"/>
      <c r="B994" s="211"/>
      <c r="D994" s="211"/>
    </row>
    <row r="995" ht="15.75" customHeight="1">
      <c r="A995" s="127"/>
      <c r="B995" s="211"/>
      <c r="D995" s="211"/>
    </row>
    <row r="996" ht="15.75" customHeight="1">
      <c r="A996" s="127"/>
      <c r="B996" s="211"/>
      <c r="D996" s="211"/>
    </row>
    <row r="997" ht="15.75" customHeight="1">
      <c r="A997" s="127"/>
      <c r="B997" s="211"/>
      <c r="D997" s="211"/>
    </row>
    <row r="998" ht="15.75" customHeight="1">
      <c r="A998" s="127"/>
      <c r="B998" s="211"/>
      <c r="D998" s="211"/>
    </row>
    <row r="999" ht="15.75" customHeight="1">
      <c r="A999" s="127"/>
      <c r="B999" s="211"/>
      <c r="D999" s="211"/>
    </row>
    <row r="1000" ht="15.75" customHeight="1">
      <c r="A1000" s="127"/>
      <c r="B1000" s="211"/>
      <c r="D1000" s="211"/>
    </row>
    <row r="1001" ht="15.75" customHeight="1">
      <c r="A1001" s="127"/>
      <c r="B1001" s="211"/>
      <c r="D1001" s="211"/>
    </row>
    <row r="1002" ht="15.75" customHeight="1">
      <c r="A1002" s="127"/>
      <c r="B1002" s="211"/>
      <c r="D1002" s="211"/>
    </row>
    <row r="1003" ht="15.75" customHeight="1">
      <c r="A1003" s="127"/>
      <c r="B1003" s="211"/>
      <c r="D1003" s="211"/>
    </row>
    <row r="1004" ht="15.75" customHeight="1">
      <c r="A1004" s="127"/>
      <c r="B1004" s="211"/>
      <c r="D1004" s="211"/>
    </row>
    <row r="1005" ht="15.75" customHeight="1">
      <c r="A1005" s="127"/>
      <c r="B1005" s="211"/>
      <c r="D1005" s="211"/>
    </row>
    <row r="1006" ht="15.75" customHeight="1">
      <c r="A1006" s="127"/>
      <c r="B1006" s="211"/>
      <c r="D1006" s="211"/>
    </row>
    <row r="1007" ht="15.75" customHeight="1">
      <c r="A1007" s="127"/>
      <c r="B1007" s="211"/>
      <c r="D1007" s="211"/>
    </row>
    <row r="1008" ht="15.75" customHeight="1">
      <c r="A1008" s="127"/>
      <c r="B1008" s="211"/>
      <c r="D1008" s="211"/>
    </row>
    <row r="1009" ht="15.75" customHeight="1">
      <c r="A1009" s="127"/>
      <c r="B1009" s="211"/>
      <c r="D1009" s="211"/>
    </row>
    <row r="1010" ht="15.75" customHeight="1">
      <c r="A1010" s="127"/>
      <c r="B1010" s="211"/>
      <c r="D1010" s="211"/>
    </row>
    <row r="1011" ht="15.75" customHeight="1">
      <c r="A1011" s="127"/>
      <c r="B1011" s="211"/>
      <c r="D1011" s="211"/>
    </row>
    <row r="1012" ht="15.75" customHeight="1">
      <c r="A1012" s="127"/>
      <c r="B1012" s="211"/>
      <c r="D1012" s="211"/>
    </row>
    <row r="1013" ht="15.75" customHeight="1">
      <c r="A1013" s="127"/>
      <c r="B1013" s="211"/>
      <c r="D1013" s="211"/>
    </row>
    <row r="1014" ht="15.75" customHeight="1">
      <c r="A1014" s="127"/>
      <c r="B1014" s="211"/>
      <c r="D1014" s="211"/>
    </row>
    <row r="1015" ht="15.75" customHeight="1">
      <c r="A1015" s="127"/>
      <c r="B1015" s="211"/>
      <c r="D1015" s="211"/>
    </row>
    <row r="1016" ht="15.75" customHeight="1">
      <c r="A1016" s="127"/>
      <c r="B1016" s="211"/>
      <c r="D1016" s="211"/>
    </row>
    <row r="1017" ht="15.75" customHeight="1">
      <c r="A1017" s="127"/>
      <c r="B1017" s="211"/>
      <c r="D1017" s="211"/>
    </row>
    <row r="1018" ht="15.75" customHeight="1">
      <c r="A1018" s="127"/>
      <c r="B1018" s="211"/>
      <c r="D1018" s="211"/>
    </row>
  </sheetData>
  <mergeCells count="19">
    <mergeCell ref="N2:N3"/>
    <mergeCell ref="O2:O3"/>
    <mergeCell ref="G26:H26"/>
    <mergeCell ref="B49:C49"/>
    <mergeCell ref="P2:P3"/>
    <mergeCell ref="Q2:Q3"/>
    <mergeCell ref="R2:R3"/>
    <mergeCell ref="S2:S3"/>
    <mergeCell ref="T2:T3"/>
    <mergeCell ref="U2:U3"/>
    <mergeCell ref="Y105:Z105"/>
    <mergeCell ref="A1:D1"/>
    <mergeCell ref="F1:I1"/>
    <mergeCell ref="K1:V1"/>
    <mergeCell ref="X1:AD1"/>
    <mergeCell ref="K2:K3"/>
    <mergeCell ref="L2:L3"/>
    <mergeCell ref="M2:M3"/>
    <mergeCell ref="V2:V3"/>
  </mergeCells>
  <conditionalFormatting sqref="V4:V14 S18:S28 R33:R34 R36:R41 N45:N55">
    <cfRule type="cellIs" dxfId="1" priority="1" operator="notEqual">
      <formula>0</formula>
    </cfRule>
  </conditionalFormatting>
  <dataValidations>
    <dataValidation type="list" allowBlank="1" showErrorMessage="1" sqref="F3:F25 H3:H25">
      <formula1>"NONE,2.7KG,2.7KG FIESTA,7KG PASAK,7KG RUSKAS,11KG PASAK,11KG RUSKAS,ELITE PASAK,ELITE RUSKAS,22KG,50KG BLUE,50KG CODED"</formula1>
    </dataValidation>
  </dataValidation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9.71"/>
    <col customWidth="1" min="2" max="2" width="10.29"/>
    <col customWidth="1" min="3" max="3" width="9.14"/>
    <col customWidth="1" min="4" max="4" width="16.29"/>
    <col customWidth="1" min="5" max="5" width="9.14"/>
    <col customWidth="1" min="6" max="6" width="21.43"/>
    <col customWidth="1" min="7" max="7" width="18.86"/>
    <col customWidth="1" min="8" max="8" width="20.57"/>
    <col customWidth="1" min="9" max="9" width="15.71"/>
    <col customWidth="1" min="10" max="10" width="9.14"/>
    <col customWidth="1" min="11" max="11" width="38.29"/>
    <col customWidth="1" min="12" max="12" width="12.43"/>
    <col customWidth="1" min="13" max="14" width="12.14"/>
    <col customWidth="1" min="15" max="15" width="12.86"/>
    <col customWidth="1" min="16" max="16" width="13.43"/>
    <col customWidth="1" min="17" max="17" width="13.29"/>
    <col customWidth="1" min="18" max="18" width="14.0"/>
    <col customWidth="1" min="19" max="19" width="13.29"/>
    <col customWidth="1" min="20" max="20" width="11.0"/>
    <col customWidth="1" min="21" max="21" width="9.14"/>
    <col customWidth="1" min="22" max="22" width="11.57"/>
    <col customWidth="1" min="23" max="23" width="10.43"/>
  </cols>
  <sheetData>
    <row r="1" ht="14.25" customHeight="1">
      <c r="A1" s="62"/>
      <c r="B1" s="63"/>
      <c r="C1" s="63"/>
      <c r="D1" s="64"/>
      <c r="E1" s="65"/>
      <c r="F1" s="66" t="s">
        <v>74</v>
      </c>
      <c r="G1" s="63"/>
      <c r="H1" s="63"/>
      <c r="I1" s="64"/>
      <c r="J1" s="65"/>
      <c r="K1" s="67" t="s">
        <v>75</v>
      </c>
      <c r="L1" s="63"/>
      <c r="M1" s="63"/>
      <c r="N1" s="63"/>
      <c r="O1" s="63"/>
      <c r="P1" s="63"/>
      <c r="Q1" s="63"/>
      <c r="R1" s="63"/>
      <c r="S1" s="63"/>
      <c r="T1" s="63"/>
      <c r="U1" s="63"/>
      <c r="V1" s="64"/>
      <c r="W1" s="68"/>
      <c r="X1" s="69" t="s">
        <v>76</v>
      </c>
      <c r="Y1" s="63"/>
      <c r="Z1" s="63"/>
      <c r="AA1" s="63"/>
      <c r="AB1" s="63"/>
      <c r="AC1" s="63"/>
      <c r="AD1" s="64"/>
    </row>
    <row r="2" ht="14.25" customHeight="1">
      <c r="A2" s="70" t="s">
        <v>77</v>
      </c>
      <c r="B2" s="71" t="s">
        <v>78</v>
      </c>
      <c r="C2" s="72" t="s">
        <v>79</v>
      </c>
      <c r="D2" s="73" t="s">
        <v>80</v>
      </c>
      <c r="E2" s="65"/>
      <c r="F2" s="72" t="s">
        <v>81</v>
      </c>
      <c r="G2" s="71" t="s">
        <v>82</v>
      </c>
      <c r="H2" s="72" t="s">
        <v>83</v>
      </c>
      <c r="I2" s="74" t="s">
        <v>80</v>
      </c>
      <c r="J2" s="65"/>
      <c r="K2" s="76" t="s">
        <v>386</v>
      </c>
      <c r="L2" s="76" t="s">
        <v>85</v>
      </c>
      <c r="M2" s="77" t="s">
        <v>86</v>
      </c>
      <c r="N2" s="77" t="s">
        <v>87</v>
      </c>
      <c r="O2" s="75" t="s">
        <v>79</v>
      </c>
      <c r="P2" s="75" t="s">
        <v>88</v>
      </c>
      <c r="Q2" s="78" t="s">
        <v>89</v>
      </c>
      <c r="R2" s="78" t="s">
        <v>90</v>
      </c>
      <c r="S2" s="78" t="s">
        <v>91</v>
      </c>
      <c r="T2" s="79" t="s">
        <v>92</v>
      </c>
      <c r="U2" s="79" t="s">
        <v>93</v>
      </c>
      <c r="V2" s="80" t="s">
        <v>94</v>
      </c>
      <c r="W2" s="68"/>
      <c r="X2" s="72" t="s">
        <v>95</v>
      </c>
      <c r="Y2" s="72" t="s">
        <v>96</v>
      </c>
      <c r="Z2" s="72" t="s">
        <v>97</v>
      </c>
      <c r="AA2" s="72" t="s">
        <v>98</v>
      </c>
      <c r="AB2" s="72" t="s">
        <v>99</v>
      </c>
      <c r="AC2" s="72" t="s">
        <v>100</v>
      </c>
      <c r="AD2" s="72" t="s">
        <v>101</v>
      </c>
    </row>
    <row r="3" ht="14.25" customHeight="1">
      <c r="A3" s="82" t="s">
        <v>102</v>
      </c>
      <c r="B3" s="83"/>
      <c r="C3" s="84"/>
      <c r="D3" s="85"/>
      <c r="E3" s="65"/>
      <c r="F3" s="86" t="s">
        <v>108</v>
      </c>
      <c r="G3" s="87"/>
      <c r="H3" s="88" t="s">
        <v>108</v>
      </c>
      <c r="I3" s="89" t="str">
        <f t="shared" ref="I3:I25" si="1">IF(AND(F3&lt;&gt;"NONE",H3&lt;&gt;"NONE", G3&gt;0),VLOOKUP(H3,$A$52:$B$63,2,FALSE)-G3+VLOOKUP(H3,$A$25:$B$36,2,FALSE),"")</f>
        <v/>
      </c>
      <c r="J3" s="65"/>
      <c r="K3" s="90"/>
      <c r="L3" s="90"/>
      <c r="M3" s="90"/>
      <c r="N3" s="90"/>
      <c r="O3" s="90"/>
      <c r="P3" s="90"/>
      <c r="Q3" s="90"/>
      <c r="R3" s="90"/>
      <c r="S3" s="90"/>
      <c r="T3" s="90"/>
      <c r="U3" s="90"/>
      <c r="V3" s="90"/>
      <c r="W3" s="68"/>
      <c r="X3" s="86">
        <v>207847.0</v>
      </c>
      <c r="Y3" s="88" t="s">
        <v>342</v>
      </c>
      <c r="Z3" s="88" t="s">
        <v>257</v>
      </c>
      <c r="AA3" s="88">
        <v>938.0</v>
      </c>
      <c r="AB3" s="88">
        <v>75.0</v>
      </c>
      <c r="AC3" s="231"/>
      <c r="AD3" s="232"/>
    </row>
    <row r="4" ht="14.25" customHeight="1">
      <c r="A4" s="95" t="s">
        <v>107</v>
      </c>
      <c r="B4" s="12">
        <v>650.0</v>
      </c>
      <c r="C4" s="96">
        <v>0.0</v>
      </c>
      <c r="D4" s="97">
        <f t="shared" ref="D4:D5" si="2">C4*B4</f>
        <v>0</v>
      </c>
      <c r="E4" s="65"/>
      <c r="F4" s="98" t="s">
        <v>108</v>
      </c>
      <c r="G4" s="16"/>
      <c r="H4" s="96" t="s">
        <v>108</v>
      </c>
      <c r="I4" s="89" t="str">
        <f t="shared" si="1"/>
        <v/>
      </c>
      <c r="J4" s="65"/>
      <c r="K4" s="95" t="s">
        <v>109</v>
      </c>
      <c r="L4" s="189">
        <f>'DAILY STOCKS (SAT)'!U4</f>
        <v>18</v>
      </c>
      <c r="M4" s="99">
        <v>0.0</v>
      </c>
      <c r="N4" s="99">
        <v>0.0</v>
      </c>
      <c r="O4" s="100">
        <f t="shared" ref="O4:O14" si="3">C14</f>
        <v>1</v>
      </c>
      <c r="P4" s="100">
        <f t="shared" ref="P4:P14" si="4">C26</f>
        <v>9</v>
      </c>
      <c r="Q4" s="100">
        <f t="shared" ref="Q4:Q14" si="5">COUNTIF($H$3:$H$25,K4)</f>
        <v>0</v>
      </c>
      <c r="R4" s="101">
        <f t="shared" ref="R4:R14" si="6">C38</f>
        <v>0</v>
      </c>
      <c r="S4" s="109"/>
      <c r="T4" s="100">
        <f t="shared" ref="T4:T14" si="7">L4+M4+N4-O4-P4-Q4-R4-S4</f>
        <v>8</v>
      </c>
      <c r="U4" s="102">
        <v>9.0</v>
      </c>
      <c r="V4" s="103">
        <f t="shared" ref="V4:V14" si="8">U4-T4</f>
        <v>1</v>
      </c>
      <c r="W4" s="68"/>
      <c r="X4" s="126"/>
      <c r="Y4" s="104"/>
      <c r="Z4" s="96" t="s">
        <v>387</v>
      </c>
      <c r="AA4" s="96">
        <v>4059.0</v>
      </c>
      <c r="AB4" s="96">
        <v>400.0</v>
      </c>
      <c r="AC4" s="104"/>
      <c r="AD4" s="105"/>
    </row>
    <row r="5" ht="14.25" customHeight="1">
      <c r="A5" s="95" t="s">
        <v>111</v>
      </c>
      <c r="B5" s="12">
        <v>375.0</v>
      </c>
      <c r="C5" s="96">
        <v>4.0</v>
      </c>
      <c r="D5" s="97">
        <f t="shared" si="2"/>
        <v>1500</v>
      </c>
      <c r="E5" s="65"/>
      <c r="F5" s="98" t="s">
        <v>108</v>
      </c>
      <c r="G5" s="12"/>
      <c r="H5" s="96" t="s">
        <v>108</v>
      </c>
      <c r="I5" s="89" t="str">
        <f t="shared" si="1"/>
        <v/>
      </c>
      <c r="J5" s="65"/>
      <c r="K5" s="107" t="s">
        <v>112</v>
      </c>
      <c r="L5" s="189">
        <f>'DAILY STOCKS (SAT)'!U5</f>
        <v>5</v>
      </c>
      <c r="M5" s="108">
        <v>0.0</v>
      </c>
      <c r="N5" s="99">
        <v>0.0</v>
      </c>
      <c r="O5" s="100">
        <f t="shared" si="3"/>
        <v>0</v>
      </c>
      <c r="P5" s="100">
        <f t="shared" si="4"/>
        <v>0</v>
      </c>
      <c r="Q5" s="100">
        <f t="shared" si="5"/>
        <v>0</v>
      </c>
      <c r="R5" s="101">
        <f t="shared" si="6"/>
        <v>0</v>
      </c>
      <c r="S5" s="109"/>
      <c r="T5" s="100">
        <f t="shared" si="7"/>
        <v>5</v>
      </c>
      <c r="U5" s="102">
        <v>4.0</v>
      </c>
      <c r="V5" s="103">
        <f t="shared" si="8"/>
        <v>-1</v>
      </c>
      <c r="W5" s="68"/>
      <c r="X5" s="98">
        <v>207848.0</v>
      </c>
      <c r="Y5" s="96" t="s">
        <v>388</v>
      </c>
      <c r="Z5" s="96" t="s">
        <v>259</v>
      </c>
      <c r="AA5" s="96">
        <v>280.0</v>
      </c>
      <c r="AB5" s="104"/>
      <c r="AC5" s="104"/>
      <c r="AD5" s="105"/>
    </row>
    <row r="6" ht="14.25" customHeight="1">
      <c r="A6" s="110" t="s">
        <v>114</v>
      </c>
      <c r="B6" s="111"/>
      <c r="C6" s="112"/>
      <c r="D6" s="113"/>
      <c r="E6" s="65"/>
      <c r="F6" s="98" t="s">
        <v>108</v>
      </c>
      <c r="G6" s="12"/>
      <c r="H6" s="96" t="s">
        <v>108</v>
      </c>
      <c r="I6" s="89" t="str">
        <f t="shared" si="1"/>
        <v/>
      </c>
      <c r="J6" s="65"/>
      <c r="K6" s="107" t="s">
        <v>115</v>
      </c>
      <c r="L6" s="189">
        <f>'DAILY STOCKS (SAT)'!U6</f>
        <v>8</v>
      </c>
      <c r="M6" s="108">
        <v>0.0</v>
      </c>
      <c r="N6" s="99">
        <v>0.0</v>
      </c>
      <c r="O6" s="100">
        <f t="shared" si="3"/>
        <v>0</v>
      </c>
      <c r="P6" s="100">
        <f t="shared" si="4"/>
        <v>0</v>
      </c>
      <c r="Q6" s="100">
        <f t="shared" si="5"/>
        <v>0</v>
      </c>
      <c r="R6" s="101">
        <f t="shared" si="6"/>
        <v>0</v>
      </c>
      <c r="S6" s="109"/>
      <c r="T6" s="100">
        <f t="shared" si="7"/>
        <v>8</v>
      </c>
      <c r="U6" s="102">
        <v>8.0</v>
      </c>
      <c r="V6" s="103">
        <f t="shared" si="8"/>
        <v>0</v>
      </c>
      <c r="W6" s="68"/>
      <c r="X6" s="98">
        <v>207849.0</v>
      </c>
      <c r="Y6" s="96" t="s">
        <v>389</v>
      </c>
      <c r="Z6" s="96" t="s">
        <v>257</v>
      </c>
      <c r="AA6" s="96">
        <v>963.0</v>
      </c>
      <c r="AB6" s="96">
        <v>50.0</v>
      </c>
      <c r="AC6" s="104"/>
      <c r="AD6" s="105"/>
    </row>
    <row r="7" ht="14.25" customHeight="1">
      <c r="A7" s="95" t="s">
        <v>118</v>
      </c>
      <c r="B7" s="12">
        <v>650.0</v>
      </c>
      <c r="C7" s="96">
        <v>1.0</v>
      </c>
      <c r="D7" s="97">
        <f t="shared" ref="D7:D12" si="9">C7*B7</f>
        <v>650</v>
      </c>
      <c r="E7" s="65"/>
      <c r="F7" s="98" t="s">
        <v>108</v>
      </c>
      <c r="G7" s="12"/>
      <c r="H7" s="96" t="s">
        <v>108</v>
      </c>
      <c r="I7" s="89" t="str">
        <f t="shared" si="1"/>
        <v/>
      </c>
      <c r="J7" s="65"/>
      <c r="K7" s="107" t="s">
        <v>119</v>
      </c>
      <c r="L7" s="189">
        <f>'DAILY STOCKS (SAT)'!U7</f>
        <v>13</v>
      </c>
      <c r="M7" s="108">
        <v>0.0</v>
      </c>
      <c r="N7" s="99">
        <v>0.0</v>
      </c>
      <c r="O7" s="100">
        <f t="shared" si="3"/>
        <v>0</v>
      </c>
      <c r="P7" s="100">
        <f t="shared" si="4"/>
        <v>0</v>
      </c>
      <c r="Q7" s="100">
        <f t="shared" si="5"/>
        <v>0</v>
      </c>
      <c r="R7" s="101">
        <f t="shared" si="6"/>
        <v>0</v>
      </c>
      <c r="S7" s="109"/>
      <c r="T7" s="100">
        <f t="shared" si="7"/>
        <v>13</v>
      </c>
      <c r="U7" s="102">
        <v>13.0</v>
      </c>
      <c r="V7" s="103">
        <f t="shared" si="8"/>
        <v>0</v>
      </c>
      <c r="W7" s="68"/>
      <c r="X7" s="98">
        <v>207850.0</v>
      </c>
      <c r="Y7" s="96" t="s">
        <v>390</v>
      </c>
      <c r="Z7" s="96" t="s">
        <v>257</v>
      </c>
      <c r="AA7" s="96">
        <v>963.0</v>
      </c>
      <c r="AB7" s="96">
        <v>50.0</v>
      </c>
      <c r="AC7" s="104"/>
      <c r="AD7" s="105"/>
    </row>
    <row r="8" ht="14.25" customHeight="1">
      <c r="A8" s="95" t="s">
        <v>121</v>
      </c>
      <c r="B8" s="12">
        <v>180.0</v>
      </c>
      <c r="C8" s="96">
        <v>2.0</v>
      </c>
      <c r="D8" s="97">
        <f t="shared" si="9"/>
        <v>360</v>
      </c>
      <c r="E8" s="65"/>
      <c r="F8" s="98" t="s">
        <v>108</v>
      </c>
      <c r="G8" s="12"/>
      <c r="H8" s="96" t="s">
        <v>108</v>
      </c>
      <c r="I8" s="89" t="str">
        <f t="shared" si="1"/>
        <v/>
      </c>
      <c r="J8" s="65"/>
      <c r="K8" s="107" t="s">
        <v>103</v>
      </c>
      <c r="L8" s="189">
        <f>'DAILY STOCKS (SAT)'!U8</f>
        <v>5</v>
      </c>
      <c r="M8" s="108">
        <v>0.0</v>
      </c>
      <c r="N8" s="99">
        <v>70.0</v>
      </c>
      <c r="O8" s="100">
        <f t="shared" si="3"/>
        <v>0</v>
      </c>
      <c r="P8" s="100">
        <f t="shared" si="4"/>
        <v>42</v>
      </c>
      <c r="Q8" s="100">
        <f t="shared" si="5"/>
        <v>0</v>
      </c>
      <c r="R8" s="101">
        <f t="shared" si="6"/>
        <v>0</v>
      </c>
      <c r="S8" s="109"/>
      <c r="T8" s="100">
        <f t="shared" si="7"/>
        <v>33</v>
      </c>
      <c r="U8" s="102">
        <v>33.0</v>
      </c>
      <c r="V8" s="103">
        <f t="shared" si="8"/>
        <v>0</v>
      </c>
      <c r="W8" s="68"/>
      <c r="X8" s="98">
        <v>209556.0</v>
      </c>
      <c r="Y8" s="96" t="s">
        <v>391</v>
      </c>
      <c r="Z8" s="96" t="s">
        <v>262</v>
      </c>
      <c r="AA8" s="96">
        <v>988.0</v>
      </c>
      <c r="AB8" s="96">
        <v>25.0</v>
      </c>
      <c r="AC8" s="104"/>
      <c r="AD8" s="105"/>
    </row>
    <row r="9" ht="14.25" customHeight="1">
      <c r="A9" s="95" t="s">
        <v>123</v>
      </c>
      <c r="B9" s="12">
        <v>20.0</v>
      </c>
      <c r="C9" s="96">
        <v>3.0</v>
      </c>
      <c r="D9" s="97">
        <f t="shared" si="9"/>
        <v>60</v>
      </c>
      <c r="E9" s="65"/>
      <c r="F9" s="98" t="s">
        <v>108</v>
      </c>
      <c r="G9" s="12"/>
      <c r="H9" s="96" t="s">
        <v>108</v>
      </c>
      <c r="I9" s="89" t="str">
        <f t="shared" si="1"/>
        <v/>
      </c>
      <c r="J9" s="65"/>
      <c r="K9" s="107" t="s">
        <v>104</v>
      </c>
      <c r="L9" s="189">
        <f>'DAILY STOCKS (SAT)'!U9</f>
        <v>13</v>
      </c>
      <c r="M9" s="108">
        <v>0.0</v>
      </c>
      <c r="N9" s="99">
        <v>70.0</v>
      </c>
      <c r="O9" s="100">
        <f t="shared" si="3"/>
        <v>2</v>
      </c>
      <c r="P9" s="100">
        <f t="shared" si="4"/>
        <v>48</v>
      </c>
      <c r="Q9" s="100">
        <f t="shared" si="5"/>
        <v>0</v>
      </c>
      <c r="R9" s="101">
        <f t="shared" si="6"/>
        <v>0</v>
      </c>
      <c r="S9" s="99"/>
      <c r="T9" s="100">
        <f t="shared" si="7"/>
        <v>33</v>
      </c>
      <c r="U9" s="102">
        <v>33.0</v>
      </c>
      <c r="V9" s="103">
        <f t="shared" si="8"/>
        <v>0</v>
      </c>
      <c r="W9" s="68"/>
      <c r="X9" s="98">
        <v>209557.0</v>
      </c>
      <c r="Y9" s="96" t="s">
        <v>392</v>
      </c>
      <c r="Z9" s="96" t="s">
        <v>262</v>
      </c>
      <c r="AA9" s="96">
        <v>988.0</v>
      </c>
      <c r="AB9" s="96">
        <v>25.0</v>
      </c>
      <c r="AC9" s="104"/>
      <c r="AD9" s="105"/>
    </row>
    <row r="10" ht="14.25" customHeight="1">
      <c r="A10" s="95" t="s">
        <v>125</v>
      </c>
      <c r="B10" s="12">
        <v>650.0</v>
      </c>
      <c r="C10" s="106">
        <v>0.0</v>
      </c>
      <c r="D10" s="97">
        <f t="shared" si="9"/>
        <v>0</v>
      </c>
      <c r="E10" s="65"/>
      <c r="F10" s="98" t="s">
        <v>108</v>
      </c>
      <c r="G10" s="12"/>
      <c r="H10" s="96" t="s">
        <v>108</v>
      </c>
      <c r="I10" s="89" t="str">
        <f t="shared" si="1"/>
        <v/>
      </c>
      <c r="J10" s="65"/>
      <c r="K10" s="107" t="s">
        <v>126</v>
      </c>
      <c r="L10" s="189">
        <f>'DAILY STOCKS (SAT)'!U10</f>
        <v>8</v>
      </c>
      <c r="M10" s="108">
        <v>0.0</v>
      </c>
      <c r="N10" s="99">
        <v>0.0</v>
      </c>
      <c r="O10" s="100">
        <f t="shared" si="3"/>
        <v>0</v>
      </c>
      <c r="P10" s="100">
        <f t="shared" si="4"/>
        <v>3</v>
      </c>
      <c r="Q10" s="100">
        <f t="shared" si="5"/>
        <v>0</v>
      </c>
      <c r="R10" s="101">
        <f t="shared" si="6"/>
        <v>0</v>
      </c>
      <c r="S10" s="109"/>
      <c r="T10" s="100">
        <f t="shared" si="7"/>
        <v>5</v>
      </c>
      <c r="U10" s="102">
        <v>5.0</v>
      </c>
      <c r="V10" s="103">
        <f t="shared" si="8"/>
        <v>0</v>
      </c>
      <c r="W10" s="68"/>
      <c r="X10" s="98">
        <v>209558.0</v>
      </c>
      <c r="Y10" s="96" t="s">
        <v>393</v>
      </c>
      <c r="Z10" s="96" t="s">
        <v>262</v>
      </c>
      <c r="AA10" s="96">
        <v>963.0</v>
      </c>
      <c r="AB10" s="96">
        <v>50.0</v>
      </c>
      <c r="AC10" s="104"/>
      <c r="AD10" s="105"/>
    </row>
    <row r="11" ht="14.25" customHeight="1">
      <c r="A11" s="95" t="s">
        <v>128</v>
      </c>
      <c r="B11" s="12">
        <v>1200.0</v>
      </c>
      <c r="C11" s="106">
        <v>0.0</v>
      </c>
      <c r="D11" s="97">
        <f t="shared" si="9"/>
        <v>0</v>
      </c>
      <c r="E11" s="65"/>
      <c r="F11" s="98" t="s">
        <v>108</v>
      </c>
      <c r="G11" s="12"/>
      <c r="H11" s="96" t="s">
        <v>108</v>
      </c>
      <c r="I11" s="89" t="str">
        <f t="shared" si="1"/>
        <v/>
      </c>
      <c r="J11" s="65"/>
      <c r="K11" s="107" t="s">
        <v>129</v>
      </c>
      <c r="L11" s="189">
        <f>'DAILY STOCKS (SAT)'!U11</f>
        <v>11</v>
      </c>
      <c r="M11" s="108">
        <v>0.0</v>
      </c>
      <c r="N11" s="99">
        <v>0.0</v>
      </c>
      <c r="O11" s="100">
        <f t="shared" si="3"/>
        <v>0</v>
      </c>
      <c r="P11" s="100">
        <f t="shared" si="4"/>
        <v>0</v>
      </c>
      <c r="Q11" s="100">
        <f t="shared" si="5"/>
        <v>0</v>
      </c>
      <c r="R11" s="101">
        <f t="shared" si="6"/>
        <v>0</v>
      </c>
      <c r="S11" s="109"/>
      <c r="T11" s="100">
        <f t="shared" si="7"/>
        <v>11</v>
      </c>
      <c r="U11" s="102">
        <v>11.0</v>
      </c>
      <c r="V11" s="103">
        <f t="shared" si="8"/>
        <v>0</v>
      </c>
      <c r="W11" s="68"/>
      <c r="X11" s="98">
        <v>209559.0</v>
      </c>
      <c r="Y11" s="96" t="s">
        <v>394</v>
      </c>
      <c r="Z11" s="96" t="s">
        <v>257</v>
      </c>
      <c r="AA11" s="96">
        <v>988.0</v>
      </c>
      <c r="AB11" s="96">
        <v>25.0</v>
      </c>
      <c r="AC11" s="104"/>
      <c r="AD11" s="105"/>
    </row>
    <row r="12" ht="14.25" customHeight="1">
      <c r="A12" s="107" t="s">
        <v>131</v>
      </c>
      <c r="B12" s="16">
        <v>150.0</v>
      </c>
      <c r="C12" s="106">
        <v>0.0</v>
      </c>
      <c r="D12" s="97">
        <f t="shared" si="9"/>
        <v>0</v>
      </c>
      <c r="E12" s="65"/>
      <c r="F12" s="98" t="s">
        <v>108</v>
      </c>
      <c r="G12" s="12"/>
      <c r="H12" s="96" t="s">
        <v>108</v>
      </c>
      <c r="I12" s="89" t="str">
        <f t="shared" si="1"/>
        <v/>
      </c>
      <c r="J12" s="65"/>
      <c r="K12" s="95" t="s">
        <v>132</v>
      </c>
      <c r="L12" s="189">
        <f>'DAILY STOCKS (SAT)'!U12</f>
        <v>1</v>
      </c>
      <c r="M12" s="108">
        <v>0.0</v>
      </c>
      <c r="N12" s="99">
        <v>0.0</v>
      </c>
      <c r="O12" s="100">
        <f t="shared" si="3"/>
        <v>0</v>
      </c>
      <c r="P12" s="100">
        <f t="shared" si="4"/>
        <v>0</v>
      </c>
      <c r="Q12" s="100">
        <f t="shared" si="5"/>
        <v>0</v>
      </c>
      <c r="R12" s="101">
        <f t="shared" si="6"/>
        <v>0</v>
      </c>
      <c r="S12" s="109"/>
      <c r="T12" s="100">
        <f t="shared" si="7"/>
        <v>1</v>
      </c>
      <c r="U12" s="102">
        <v>1.0</v>
      </c>
      <c r="V12" s="103">
        <f t="shared" si="8"/>
        <v>0</v>
      </c>
      <c r="W12" s="68"/>
      <c r="X12" s="98">
        <v>209560.0</v>
      </c>
      <c r="Y12" s="96" t="s">
        <v>395</v>
      </c>
      <c r="Z12" s="96" t="s">
        <v>259</v>
      </c>
      <c r="AA12" s="96">
        <v>280.0</v>
      </c>
      <c r="AB12" s="104"/>
      <c r="AC12" s="104"/>
      <c r="AD12" s="105"/>
    </row>
    <row r="13" ht="14.25" customHeight="1">
      <c r="A13" s="114" t="s">
        <v>134</v>
      </c>
      <c r="B13" s="111"/>
      <c r="C13" s="112"/>
      <c r="D13" s="113"/>
      <c r="E13" s="65"/>
      <c r="F13" s="98" t="s">
        <v>108</v>
      </c>
      <c r="G13" s="12"/>
      <c r="H13" s="96" t="s">
        <v>108</v>
      </c>
      <c r="I13" s="89" t="str">
        <f t="shared" si="1"/>
        <v/>
      </c>
      <c r="J13" s="65"/>
      <c r="K13" s="107" t="s">
        <v>135</v>
      </c>
      <c r="L13" s="189" t="str">
        <f>'DAILY STOCKS (SAT)'!U13</f>
        <v/>
      </c>
      <c r="M13" s="108">
        <v>0.0</v>
      </c>
      <c r="N13" s="99">
        <v>3.0</v>
      </c>
      <c r="O13" s="100">
        <f t="shared" si="3"/>
        <v>0</v>
      </c>
      <c r="P13" s="100">
        <f t="shared" si="4"/>
        <v>2</v>
      </c>
      <c r="Q13" s="100">
        <f t="shared" si="5"/>
        <v>0</v>
      </c>
      <c r="R13" s="101">
        <f t="shared" si="6"/>
        <v>0</v>
      </c>
      <c r="S13" s="109"/>
      <c r="T13" s="100">
        <f t="shared" si="7"/>
        <v>1</v>
      </c>
      <c r="U13" s="102">
        <v>1.0</v>
      </c>
      <c r="V13" s="103">
        <f t="shared" si="8"/>
        <v>0</v>
      </c>
      <c r="W13" s="68"/>
      <c r="X13" s="98">
        <v>209561.0</v>
      </c>
      <c r="Y13" s="96" t="s">
        <v>396</v>
      </c>
      <c r="Z13" s="96" t="s">
        <v>262</v>
      </c>
      <c r="AA13" s="96">
        <v>988.0</v>
      </c>
      <c r="AB13" s="96">
        <v>25.0</v>
      </c>
      <c r="AC13" s="104"/>
      <c r="AD13" s="105"/>
    </row>
    <row r="14" ht="14.25" customHeight="1">
      <c r="A14" s="95" t="s">
        <v>109</v>
      </c>
      <c r="B14" s="116">
        <f t="shared" ref="B14:B24" si="10">B26+B53</f>
        <v>1480</v>
      </c>
      <c r="C14" s="96">
        <v>1.0</v>
      </c>
      <c r="D14" s="97">
        <f t="shared" ref="D14:D24" si="11">C14*B14</f>
        <v>1480</v>
      </c>
      <c r="E14" s="65"/>
      <c r="F14" s="98" t="s">
        <v>108</v>
      </c>
      <c r="G14" s="12"/>
      <c r="H14" s="96" t="s">
        <v>108</v>
      </c>
      <c r="I14" s="89" t="str">
        <f t="shared" si="1"/>
        <v/>
      </c>
      <c r="J14" s="65"/>
      <c r="K14" s="117" t="s">
        <v>138</v>
      </c>
      <c r="L14" s="222">
        <f>'DAILY STOCKS (SAT)'!U14</f>
        <v>3</v>
      </c>
      <c r="M14" s="119">
        <v>0.0</v>
      </c>
      <c r="N14" s="120">
        <v>7.0</v>
      </c>
      <c r="O14" s="121">
        <f t="shared" si="3"/>
        <v>0</v>
      </c>
      <c r="P14" s="121">
        <f t="shared" si="4"/>
        <v>9</v>
      </c>
      <c r="Q14" s="121">
        <f t="shared" si="5"/>
        <v>0</v>
      </c>
      <c r="R14" s="122">
        <f t="shared" si="6"/>
        <v>0</v>
      </c>
      <c r="S14" s="123"/>
      <c r="T14" s="121">
        <f t="shared" si="7"/>
        <v>1</v>
      </c>
      <c r="U14" s="124">
        <v>1.0</v>
      </c>
      <c r="V14" s="125">
        <f t="shared" si="8"/>
        <v>0</v>
      </c>
      <c r="W14" s="68"/>
      <c r="X14" s="98">
        <v>209562.0</v>
      </c>
      <c r="Y14" s="96" t="s">
        <v>396</v>
      </c>
      <c r="Z14" s="96" t="s">
        <v>262</v>
      </c>
      <c r="AA14" s="96">
        <v>988.0</v>
      </c>
      <c r="AB14" s="96">
        <v>25.0</v>
      </c>
      <c r="AC14" s="104"/>
      <c r="AD14" s="105"/>
    </row>
    <row r="15" ht="14.25" customHeight="1">
      <c r="A15" s="107" t="s">
        <v>112</v>
      </c>
      <c r="B15" s="116">
        <f t="shared" si="10"/>
        <v>1480</v>
      </c>
      <c r="C15" s="106">
        <v>0.0</v>
      </c>
      <c r="D15" s="97">
        <f t="shared" si="11"/>
        <v>0</v>
      </c>
      <c r="E15" s="65"/>
      <c r="F15" s="98" t="s">
        <v>108</v>
      </c>
      <c r="G15" s="12"/>
      <c r="H15" s="96" t="s">
        <v>108</v>
      </c>
      <c r="I15" s="89" t="str">
        <f t="shared" si="1"/>
        <v/>
      </c>
      <c r="J15" s="65"/>
      <c r="K15" s="127"/>
      <c r="L15" s="127"/>
      <c r="M15" s="127"/>
      <c r="N15" s="127"/>
      <c r="O15" s="127"/>
      <c r="P15" s="127"/>
      <c r="Q15" s="127"/>
      <c r="R15" s="127"/>
      <c r="S15" s="127"/>
      <c r="T15" s="127"/>
      <c r="U15" s="127"/>
      <c r="V15" s="127"/>
      <c r="W15" s="68"/>
      <c r="X15" s="98">
        <v>209563.0</v>
      </c>
      <c r="Y15" s="96" t="s">
        <v>397</v>
      </c>
      <c r="Z15" s="96" t="s">
        <v>257</v>
      </c>
      <c r="AA15" s="96">
        <v>988.0</v>
      </c>
      <c r="AB15" s="96">
        <v>25.0</v>
      </c>
      <c r="AC15" s="104"/>
      <c r="AD15" s="105"/>
    </row>
    <row r="16" ht="14.25" customHeight="1">
      <c r="A16" s="107" t="s">
        <v>115</v>
      </c>
      <c r="B16" s="116">
        <f t="shared" si="10"/>
        <v>2588</v>
      </c>
      <c r="C16" s="106">
        <v>0.0</v>
      </c>
      <c r="D16" s="97">
        <f t="shared" si="11"/>
        <v>0</v>
      </c>
      <c r="E16" s="65"/>
      <c r="F16" s="98" t="s">
        <v>108</v>
      </c>
      <c r="G16" s="12"/>
      <c r="H16" s="96" t="s">
        <v>108</v>
      </c>
      <c r="I16" s="89" t="str">
        <f t="shared" si="1"/>
        <v/>
      </c>
      <c r="J16" s="65"/>
      <c r="K16" s="127"/>
      <c r="L16" s="127"/>
      <c r="M16" s="127"/>
      <c r="N16" s="127"/>
      <c r="O16" s="127"/>
      <c r="P16" s="127"/>
      <c r="Q16" s="127"/>
      <c r="R16" s="127"/>
      <c r="S16" s="127"/>
      <c r="T16" s="127"/>
      <c r="U16" s="127"/>
      <c r="V16" s="127"/>
      <c r="W16" s="68"/>
      <c r="X16" s="98">
        <v>209564.0</v>
      </c>
      <c r="Y16" s="96" t="s">
        <v>398</v>
      </c>
      <c r="Z16" s="96" t="s">
        <v>257</v>
      </c>
      <c r="AA16" s="96">
        <v>988.0</v>
      </c>
      <c r="AB16" s="96">
        <v>25.0</v>
      </c>
      <c r="AC16" s="104"/>
      <c r="AD16" s="105"/>
    </row>
    <row r="17" ht="14.25" customHeight="1">
      <c r="A17" s="107" t="s">
        <v>119</v>
      </c>
      <c r="B17" s="116">
        <f t="shared" si="10"/>
        <v>2588</v>
      </c>
      <c r="C17" s="96">
        <v>0.0</v>
      </c>
      <c r="D17" s="97">
        <f t="shared" si="11"/>
        <v>0</v>
      </c>
      <c r="E17" s="65"/>
      <c r="F17" s="98" t="s">
        <v>108</v>
      </c>
      <c r="G17" s="12"/>
      <c r="H17" s="96" t="s">
        <v>108</v>
      </c>
      <c r="I17" s="89" t="str">
        <f t="shared" si="1"/>
        <v/>
      </c>
      <c r="J17" s="65"/>
      <c r="K17" s="72" t="s">
        <v>143</v>
      </c>
      <c r="L17" s="72" t="s">
        <v>85</v>
      </c>
      <c r="M17" s="128" t="s">
        <v>144</v>
      </c>
      <c r="N17" s="128" t="s">
        <v>88</v>
      </c>
      <c r="O17" s="128" t="s">
        <v>89</v>
      </c>
      <c r="P17" s="128" t="s">
        <v>145</v>
      </c>
      <c r="Q17" s="72" t="s">
        <v>92</v>
      </c>
      <c r="R17" s="129" t="s">
        <v>93</v>
      </c>
      <c r="S17" s="130" t="s">
        <v>94</v>
      </c>
      <c r="T17" s="127"/>
      <c r="U17" s="127"/>
      <c r="V17" s="127"/>
      <c r="W17" s="68"/>
      <c r="X17" s="98">
        <v>209565.0</v>
      </c>
      <c r="Y17" s="96" t="s">
        <v>399</v>
      </c>
      <c r="Z17" s="96" t="s">
        <v>257</v>
      </c>
      <c r="AA17" s="96">
        <v>988.0</v>
      </c>
      <c r="AB17" s="96">
        <v>25.0</v>
      </c>
      <c r="AC17" s="104"/>
      <c r="AD17" s="105"/>
    </row>
    <row r="18" ht="14.25" customHeight="1">
      <c r="A18" s="107" t="s">
        <v>103</v>
      </c>
      <c r="B18" s="116">
        <f t="shared" si="10"/>
        <v>3013</v>
      </c>
      <c r="C18" s="96">
        <v>0.0</v>
      </c>
      <c r="D18" s="97">
        <f t="shared" si="11"/>
        <v>0</v>
      </c>
      <c r="E18" s="65"/>
      <c r="F18" s="98" t="s">
        <v>108</v>
      </c>
      <c r="G18" s="12"/>
      <c r="H18" s="96" t="s">
        <v>108</v>
      </c>
      <c r="I18" s="89" t="str">
        <f t="shared" si="1"/>
        <v/>
      </c>
      <c r="J18" s="65"/>
      <c r="K18" s="95" t="s">
        <v>109</v>
      </c>
      <c r="L18" s="101">
        <f>'DAILY STOCKS (SAT)'!R18</f>
        <v>50</v>
      </c>
      <c r="M18" s="132">
        <f t="shared" ref="M18:M28" si="12">N4</f>
        <v>0</v>
      </c>
      <c r="N18" s="132">
        <f t="shared" ref="N18:N22" si="13">P4</f>
        <v>9</v>
      </c>
      <c r="O18" s="132">
        <f t="shared" ref="O18:O28" si="14">countif($F$3:$F$25,K18)</f>
        <v>0</v>
      </c>
      <c r="P18" s="133"/>
      <c r="Q18" s="132">
        <f t="shared" ref="Q18:Q28" si="15">L18-M18+N18+O18+P18</f>
        <v>59</v>
      </c>
      <c r="R18" s="134">
        <v>59.0</v>
      </c>
      <c r="S18" s="135">
        <f t="shared" ref="S18:S28" si="16">R18-Q18</f>
        <v>0</v>
      </c>
      <c r="T18" s="127"/>
      <c r="U18" s="127"/>
      <c r="V18" s="127"/>
      <c r="W18" s="68"/>
      <c r="X18" s="98">
        <v>209566.0</v>
      </c>
      <c r="Y18" s="96" t="s">
        <v>400</v>
      </c>
      <c r="Z18" s="96" t="s">
        <v>257</v>
      </c>
      <c r="AA18" s="96">
        <v>963.0</v>
      </c>
      <c r="AB18" s="96">
        <v>50.0</v>
      </c>
      <c r="AC18" s="104"/>
      <c r="AD18" s="105"/>
    </row>
    <row r="19" ht="14.25" customHeight="1">
      <c r="A19" s="107" t="s">
        <v>104</v>
      </c>
      <c r="B19" s="116">
        <f t="shared" si="10"/>
        <v>3013</v>
      </c>
      <c r="C19" s="96">
        <v>2.0</v>
      </c>
      <c r="D19" s="97">
        <f t="shared" si="11"/>
        <v>6026</v>
      </c>
      <c r="E19" s="65"/>
      <c r="F19" s="98" t="s">
        <v>108</v>
      </c>
      <c r="G19" s="12"/>
      <c r="H19" s="96" t="s">
        <v>108</v>
      </c>
      <c r="I19" s="89" t="str">
        <f t="shared" si="1"/>
        <v/>
      </c>
      <c r="J19" s="65"/>
      <c r="K19" s="107" t="s">
        <v>112</v>
      </c>
      <c r="L19" s="101">
        <f>'DAILY STOCKS (SAT)'!R19</f>
        <v>12</v>
      </c>
      <c r="M19" s="136">
        <f t="shared" si="12"/>
        <v>0</v>
      </c>
      <c r="N19" s="136">
        <f t="shared" si="13"/>
        <v>0</v>
      </c>
      <c r="O19" s="132">
        <f t="shared" si="14"/>
        <v>0</v>
      </c>
      <c r="P19" s="137"/>
      <c r="Q19" s="132">
        <f t="shared" si="15"/>
        <v>12</v>
      </c>
      <c r="R19" s="138">
        <v>12.0</v>
      </c>
      <c r="S19" s="139">
        <f t="shared" si="16"/>
        <v>0</v>
      </c>
      <c r="T19" s="65"/>
      <c r="U19" s="65"/>
      <c r="V19" s="140"/>
      <c r="W19" s="68"/>
      <c r="X19" s="98">
        <v>209567.0</v>
      </c>
      <c r="Y19" s="96" t="s">
        <v>352</v>
      </c>
      <c r="Z19" s="96" t="s">
        <v>262</v>
      </c>
      <c r="AA19" s="96">
        <v>988.0</v>
      </c>
      <c r="AB19" s="96">
        <v>25.0</v>
      </c>
      <c r="AC19" s="104"/>
      <c r="AD19" s="105"/>
    </row>
    <row r="20" ht="14.25" customHeight="1">
      <c r="A20" s="107" t="s">
        <v>126</v>
      </c>
      <c r="B20" s="116">
        <f t="shared" si="10"/>
        <v>4738</v>
      </c>
      <c r="C20" s="96">
        <v>0.0</v>
      </c>
      <c r="D20" s="97">
        <f t="shared" si="11"/>
        <v>0</v>
      </c>
      <c r="E20" s="65"/>
      <c r="F20" s="98" t="s">
        <v>108</v>
      </c>
      <c r="G20" s="12"/>
      <c r="H20" s="96" t="s">
        <v>108</v>
      </c>
      <c r="I20" s="89" t="str">
        <f t="shared" si="1"/>
        <v/>
      </c>
      <c r="J20" s="65"/>
      <c r="K20" s="107" t="s">
        <v>115</v>
      </c>
      <c r="L20" s="101">
        <f>'DAILY STOCKS (SAT)'!R20</f>
        <v>11</v>
      </c>
      <c r="M20" s="136">
        <f t="shared" si="12"/>
        <v>0</v>
      </c>
      <c r="N20" s="136">
        <f t="shared" si="13"/>
        <v>0</v>
      </c>
      <c r="O20" s="132">
        <f t="shared" si="14"/>
        <v>0</v>
      </c>
      <c r="P20" s="141"/>
      <c r="Q20" s="132">
        <f t="shared" si="15"/>
        <v>11</v>
      </c>
      <c r="R20" s="138">
        <v>11.0</v>
      </c>
      <c r="S20" s="139">
        <f t="shared" si="16"/>
        <v>0</v>
      </c>
      <c r="T20" s="65"/>
      <c r="U20" s="65"/>
      <c r="V20" s="140"/>
      <c r="W20" s="68"/>
      <c r="X20" s="98">
        <v>209568.0</v>
      </c>
      <c r="Y20" s="96" t="s">
        <v>401</v>
      </c>
      <c r="Z20" s="96" t="s">
        <v>316</v>
      </c>
      <c r="AA20" s="96">
        <v>1876.0</v>
      </c>
      <c r="AB20" s="96">
        <v>150.0</v>
      </c>
      <c r="AC20" s="104"/>
      <c r="AD20" s="105"/>
    </row>
    <row r="21" ht="14.25" customHeight="1">
      <c r="A21" s="107" t="s">
        <v>129</v>
      </c>
      <c r="B21" s="116">
        <f t="shared" si="10"/>
        <v>4738</v>
      </c>
      <c r="C21" s="106">
        <v>0.0</v>
      </c>
      <c r="D21" s="97">
        <f t="shared" si="11"/>
        <v>0</v>
      </c>
      <c r="E21" s="65"/>
      <c r="F21" s="98" t="s">
        <v>108</v>
      </c>
      <c r="G21" s="12"/>
      <c r="H21" s="96" t="s">
        <v>108</v>
      </c>
      <c r="I21" s="89" t="str">
        <f t="shared" si="1"/>
        <v/>
      </c>
      <c r="J21" s="65"/>
      <c r="K21" s="107" t="s">
        <v>119</v>
      </c>
      <c r="L21" s="101">
        <f>'DAILY STOCKS (SAT)'!R21</f>
        <v>18</v>
      </c>
      <c r="M21" s="136">
        <f t="shared" si="12"/>
        <v>0</v>
      </c>
      <c r="N21" s="136">
        <f t="shared" si="13"/>
        <v>0</v>
      </c>
      <c r="O21" s="132">
        <f t="shared" si="14"/>
        <v>0</v>
      </c>
      <c r="P21" s="141">
        <v>1.0</v>
      </c>
      <c r="Q21" s="132">
        <f t="shared" si="15"/>
        <v>19</v>
      </c>
      <c r="R21" s="138">
        <v>18.0</v>
      </c>
      <c r="S21" s="139">
        <f t="shared" si="16"/>
        <v>-1</v>
      </c>
      <c r="T21" s="65"/>
      <c r="U21" s="65"/>
      <c r="V21" s="140"/>
      <c r="W21" s="68"/>
      <c r="X21" s="98">
        <v>209570.0</v>
      </c>
      <c r="Y21" s="96" t="s">
        <v>171</v>
      </c>
      <c r="Z21" s="96" t="s">
        <v>402</v>
      </c>
      <c r="AA21" s="96">
        <v>2000.0</v>
      </c>
      <c r="AB21" s="104"/>
      <c r="AC21" s="104"/>
      <c r="AD21" s="105"/>
    </row>
    <row r="22" ht="14.25" customHeight="1">
      <c r="A22" s="95" t="s">
        <v>132</v>
      </c>
      <c r="B22" s="116">
        <f t="shared" si="10"/>
        <v>5665</v>
      </c>
      <c r="C22" s="106">
        <v>0.0</v>
      </c>
      <c r="D22" s="97">
        <f t="shared" si="11"/>
        <v>0</v>
      </c>
      <c r="E22" s="65"/>
      <c r="F22" s="98" t="s">
        <v>108</v>
      </c>
      <c r="G22" s="12"/>
      <c r="H22" s="96" t="s">
        <v>108</v>
      </c>
      <c r="I22" s="89" t="str">
        <f t="shared" si="1"/>
        <v/>
      </c>
      <c r="J22" s="65"/>
      <c r="K22" s="107" t="s">
        <v>103</v>
      </c>
      <c r="L22" s="101">
        <f>'DAILY STOCKS (SAT)'!R22</f>
        <v>146</v>
      </c>
      <c r="M22" s="136">
        <f t="shared" si="12"/>
        <v>70</v>
      </c>
      <c r="N22" s="136">
        <f t="shared" si="13"/>
        <v>42</v>
      </c>
      <c r="O22" s="132">
        <f t="shared" si="14"/>
        <v>0</v>
      </c>
      <c r="P22" s="137"/>
      <c r="Q22" s="132">
        <f t="shared" si="15"/>
        <v>118</v>
      </c>
      <c r="R22" s="138">
        <v>154.0</v>
      </c>
      <c r="S22" s="139">
        <f t="shared" si="16"/>
        <v>36</v>
      </c>
      <c r="T22" s="65"/>
      <c r="U22" s="65"/>
      <c r="V22" s="140"/>
      <c r="W22" s="68"/>
      <c r="X22" s="126"/>
      <c r="Y22" s="104"/>
      <c r="Z22" s="96" t="s">
        <v>257</v>
      </c>
      <c r="AA22" s="96">
        <v>963.0</v>
      </c>
      <c r="AB22" s="96">
        <v>50.0</v>
      </c>
      <c r="AC22" s="104"/>
      <c r="AD22" s="105"/>
    </row>
    <row r="23" ht="14.25" customHeight="1">
      <c r="A23" s="107" t="s">
        <v>135</v>
      </c>
      <c r="B23" s="116">
        <f t="shared" si="10"/>
        <v>9459</v>
      </c>
      <c r="C23" s="106">
        <v>0.0</v>
      </c>
      <c r="D23" s="97">
        <f t="shared" si="11"/>
        <v>0</v>
      </c>
      <c r="E23" s="65"/>
      <c r="F23" s="98" t="s">
        <v>108</v>
      </c>
      <c r="G23" s="12"/>
      <c r="H23" s="96" t="s">
        <v>108</v>
      </c>
      <c r="I23" s="89" t="str">
        <f t="shared" si="1"/>
        <v/>
      </c>
      <c r="J23" s="65"/>
      <c r="K23" s="107" t="s">
        <v>104</v>
      </c>
      <c r="L23" s="101">
        <f>'DAILY STOCKS (SAT)'!R23</f>
        <v>136</v>
      </c>
      <c r="M23" s="136">
        <f t="shared" si="12"/>
        <v>70</v>
      </c>
      <c r="N23" s="136">
        <f>C31</f>
        <v>48</v>
      </c>
      <c r="O23" s="132">
        <f t="shared" si="14"/>
        <v>0</v>
      </c>
      <c r="P23" s="137"/>
      <c r="Q23" s="132">
        <f t="shared" si="15"/>
        <v>114</v>
      </c>
      <c r="R23" s="138">
        <v>111.0</v>
      </c>
      <c r="S23" s="139">
        <f t="shared" si="16"/>
        <v>-3</v>
      </c>
      <c r="T23" s="65"/>
      <c r="U23" s="65"/>
      <c r="V23" s="140"/>
      <c r="W23" s="68"/>
      <c r="X23" s="126"/>
      <c r="Y23" s="104"/>
      <c r="Z23" s="96" t="s">
        <v>403</v>
      </c>
      <c r="AA23" s="96">
        <v>325.0</v>
      </c>
      <c r="AB23" s="96">
        <v>50.0</v>
      </c>
      <c r="AC23" s="104"/>
      <c r="AD23" s="105"/>
    </row>
    <row r="24" ht="14.25" customHeight="1">
      <c r="A24" s="107" t="s">
        <v>138</v>
      </c>
      <c r="B24" s="116">
        <f t="shared" si="10"/>
        <v>9459</v>
      </c>
      <c r="C24" s="106">
        <v>0.0</v>
      </c>
      <c r="D24" s="97">
        <f t="shared" si="11"/>
        <v>0</v>
      </c>
      <c r="E24" s="65"/>
      <c r="F24" s="98" t="s">
        <v>108</v>
      </c>
      <c r="G24" s="12"/>
      <c r="H24" s="96" t="s">
        <v>108</v>
      </c>
      <c r="I24" s="89" t="str">
        <f t="shared" si="1"/>
        <v/>
      </c>
      <c r="J24" s="65"/>
      <c r="K24" s="107" t="s">
        <v>126</v>
      </c>
      <c r="L24" s="101">
        <f>'DAILY STOCKS (SAT)'!R24</f>
        <v>2</v>
      </c>
      <c r="M24" s="136">
        <f t="shared" si="12"/>
        <v>0</v>
      </c>
      <c r="N24" s="136">
        <f t="shared" ref="N24:N28" si="17">P10</f>
        <v>3</v>
      </c>
      <c r="O24" s="132">
        <f t="shared" si="14"/>
        <v>0</v>
      </c>
      <c r="P24" s="137"/>
      <c r="Q24" s="132">
        <f t="shared" si="15"/>
        <v>5</v>
      </c>
      <c r="R24" s="138">
        <v>3.0</v>
      </c>
      <c r="S24" s="139">
        <f t="shared" si="16"/>
        <v>-2</v>
      </c>
      <c r="T24" s="65"/>
      <c r="U24" s="65"/>
      <c r="V24" s="140"/>
      <c r="W24" s="68"/>
      <c r="X24" s="143"/>
      <c r="Y24" s="137"/>
      <c r="Z24" s="141" t="s">
        <v>304</v>
      </c>
      <c r="AA24" s="141">
        <v>180.0</v>
      </c>
      <c r="AB24" s="137"/>
      <c r="AC24" s="137"/>
      <c r="AD24" s="144"/>
    </row>
    <row r="25" ht="14.25" customHeight="1">
      <c r="A25" s="114" t="s">
        <v>88</v>
      </c>
      <c r="B25" s="111"/>
      <c r="C25" s="112"/>
      <c r="D25" s="113"/>
      <c r="E25" s="65"/>
      <c r="F25" s="145" t="s">
        <v>108</v>
      </c>
      <c r="G25" s="25"/>
      <c r="H25" s="146" t="s">
        <v>108</v>
      </c>
      <c r="I25" s="89" t="str">
        <f t="shared" si="1"/>
        <v/>
      </c>
      <c r="J25" s="65"/>
      <c r="K25" s="107" t="s">
        <v>129</v>
      </c>
      <c r="L25" s="101">
        <f>'DAILY STOCKS (SAT)'!R25</f>
        <v>64</v>
      </c>
      <c r="M25" s="136">
        <f t="shared" si="12"/>
        <v>0</v>
      </c>
      <c r="N25" s="136">
        <f t="shared" si="17"/>
        <v>0</v>
      </c>
      <c r="O25" s="132">
        <f t="shared" si="14"/>
        <v>0</v>
      </c>
      <c r="P25" s="137"/>
      <c r="Q25" s="132">
        <f t="shared" si="15"/>
        <v>64</v>
      </c>
      <c r="R25" s="138">
        <v>62.0</v>
      </c>
      <c r="S25" s="139">
        <f t="shared" si="16"/>
        <v>-2</v>
      </c>
      <c r="T25" s="65"/>
      <c r="U25" s="65"/>
      <c r="V25" s="140"/>
      <c r="W25" s="68"/>
      <c r="X25" s="143"/>
      <c r="Y25" s="147"/>
      <c r="Z25" s="141" t="s">
        <v>305</v>
      </c>
      <c r="AA25" s="148">
        <v>20.0</v>
      </c>
      <c r="AB25" s="147"/>
      <c r="AC25" s="147"/>
      <c r="AD25" s="149"/>
    </row>
    <row r="26" ht="14.25" customHeight="1">
      <c r="A26" s="95" t="s">
        <v>109</v>
      </c>
      <c r="B26" s="16">
        <v>280.0</v>
      </c>
      <c r="C26" s="96">
        <v>9.0</v>
      </c>
      <c r="D26" s="97">
        <f t="shared" ref="D26:D36" si="18">C26*B26</f>
        <v>2520</v>
      </c>
      <c r="E26" s="65"/>
      <c r="F26" s="72" t="s">
        <v>80</v>
      </c>
      <c r="G26" s="67"/>
      <c r="H26" s="64"/>
      <c r="I26" s="150">
        <f>sum(I3:I25)</f>
        <v>0</v>
      </c>
      <c r="J26" s="65"/>
      <c r="K26" s="95" t="s">
        <v>132</v>
      </c>
      <c r="L26" s="101">
        <f>'DAILY STOCKS (SAT)'!R26</f>
        <v>5</v>
      </c>
      <c r="M26" s="136">
        <f t="shared" si="12"/>
        <v>0</v>
      </c>
      <c r="N26" s="136">
        <f t="shared" si="17"/>
        <v>0</v>
      </c>
      <c r="O26" s="132">
        <f t="shared" si="14"/>
        <v>0</v>
      </c>
      <c r="P26" s="137"/>
      <c r="Q26" s="132">
        <f t="shared" si="15"/>
        <v>5</v>
      </c>
      <c r="R26" s="138">
        <v>4.0</v>
      </c>
      <c r="S26" s="139">
        <f t="shared" si="16"/>
        <v>-1</v>
      </c>
      <c r="T26" s="65"/>
      <c r="U26" s="65"/>
      <c r="V26" s="140"/>
      <c r="W26" s="68"/>
      <c r="X26" s="152">
        <v>209571.0</v>
      </c>
      <c r="Y26" s="148" t="s">
        <v>207</v>
      </c>
      <c r="Z26" s="148" t="s">
        <v>290</v>
      </c>
      <c r="AA26" s="148">
        <v>4690.0</v>
      </c>
      <c r="AB26" s="148">
        <v>375.0</v>
      </c>
      <c r="AC26" s="147"/>
      <c r="AD26" s="149"/>
    </row>
    <row r="27" ht="14.25" customHeight="1">
      <c r="A27" s="107" t="s">
        <v>112</v>
      </c>
      <c r="B27" s="16">
        <v>280.0</v>
      </c>
      <c r="C27" s="106">
        <v>0.0</v>
      </c>
      <c r="D27" s="97">
        <f t="shared" si="18"/>
        <v>0</v>
      </c>
      <c r="E27" s="65"/>
      <c r="F27" s="65"/>
      <c r="G27" s="65"/>
      <c r="H27" s="65"/>
      <c r="I27" s="65"/>
      <c r="J27" s="65"/>
      <c r="K27" s="107" t="s">
        <v>135</v>
      </c>
      <c r="L27" s="101">
        <f>'DAILY STOCKS (SAT)'!R27</f>
        <v>31</v>
      </c>
      <c r="M27" s="136">
        <f t="shared" si="12"/>
        <v>3</v>
      </c>
      <c r="N27" s="136">
        <f t="shared" si="17"/>
        <v>2</v>
      </c>
      <c r="O27" s="132">
        <f t="shared" si="14"/>
        <v>0</v>
      </c>
      <c r="P27" s="137"/>
      <c r="Q27" s="132">
        <f t="shared" si="15"/>
        <v>30</v>
      </c>
      <c r="R27" s="138">
        <v>31.0</v>
      </c>
      <c r="S27" s="139">
        <f t="shared" si="16"/>
        <v>1</v>
      </c>
      <c r="T27" s="65"/>
      <c r="U27" s="65"/>
      <c r="V27" s="140"/>
      <c r="W27" s="68"/>
      <c r="X27" s="152">
        <v>209572.0</v>
      </c>
      <c r="Y27" s="148" t="s">
        <v>404</v>
      </c>
      <c r="Z27" s="148" t="s">
        <v>259</v>
      </c>
      <c r="AA27" s="148">
        <v>280.0</v>
      </c>
      <c r="AB27" s="147"/>
      <c r="AC27" s="147"/>
      <c r="AD27" s="149"/>
    </row>
    <row r="28" ht="14.25" customHeight="1">
      <c r="A28" s="107" t="s">
        <v>115</v>
      </c>
      <c r="B28" s="16">
        <v>688.0</v>
      </c>
      <c r="C28" s="96">
        <v>0.0</v>
      </c>
      <c r="D28" s="97">
        <f t="shared" si="18"/>
        <v>0</v>
      </c>
      <c r="E28" s="65"/>
      <c r="F28" s="65"/>
      <c r="G28" s="65"/>
      <c r="H28" s="65"/>
      <c r="I28" s="65"/>
      <c r="J28" s="65"/>
      <c r="K28" s="117" t="s">
        <v>138</v>
      </c>
      <c r="L28" s="122">
        <f>'DAILY STOCKS (SAT)'!R28</f>
        <v>13</v>
      </c>
      <c r="M28" s="154">
        <f t="shared" si="12"/>
        <v>7</v>
      </c>
      <c r="N28" s="154">
        <f t="shared" si="17"/>
        <v>9</v>
      </c>
      <c r="O28" s="155">
        <f t="shared" si="14"/>
        <v>0</v>
      </c>
      <c r="P28" s="156"/>
      <c r="Q28" s="155">
        <f t="shared" si="15"/>
        <v>15</v>
      </c>
      <c r="R28" s="157">
        <v>14.0</v>
      </c>
      <c r="S28" s="158">
        <f t="shared" si="16"/>
        <v>-1</v>
      </c>
      <c r="T28" s="65"/>
      <c r="U28" s="65"/>
      <c r="V28" s="140"/>
      <c r="W28" s="68"/>
      <c r="X28" s="152">
        <v>209573.0</v>
      </c>
      <c r="Y28" s="148" t="s">
        <v>211</v>
      </c>
      <c r="Z28" s="148" t="s">
        <v>310</v>
      </c>
      <c r="AA28" s="148">
        <v>4540.0</v>
      </c>
      <c r="AB28" s="148">
        <v>525.0</v>
      </c>
      <c r="AC28" s="147"/>
      <c r="AD28" s="149"/>
    </row>
    <row r="29" ht="14.25" customHeight="1">
      <c r="A29" s="107" t="s">
        <v>119</v>
      </c>
      <c r="B29" s="16">
        <v>688.0</v>
      </c>
      <c r="C29" s="96">
        <v>0.0</v>
      </c>
      <c r="D29" s="97">
        <f t="shared" si="18"/>
        <v>0</v>
      </c>
      <c r="E29" s="65"/>
      <c r="F29" s="65"/>
      <c r="G29" s="65"/>
      <c r="H29" s="65"/>
      <c r="I29" s="65"/>
      <c r="J29" s="65"/>
      <c r="K29" s="127"/>
      <c r="L29" s="127"/>
      <c r="M29" s="127"/>
      <c r="N29" s="127"/>
      <c r="O29" s="127"/>
      <c r="P29" s="127"/>
      <c r="Q29" s="65"/>
      <c r="R29" s="65"/>
      <c r="S29" s="65"/>
      <c r="T29" s="65"/>
      <c r="U29" s="65"/>
      <c r="V29" s="140"/>
      <c r="W29" s="68"/>
      <c r="X29" s="151"/>
      <c r="Y29" s="147"/>
      <c r="Z29" s="148" t="s">
        <v>405</v>
      </c>
      <c r="AA29" s="148">
        <v>3632.0</v>
      </c>
      <c r="AB29" s="148">
        <v>420.0</v>
      </c>
      <c r="AC29" s="147"/>
      <c r="AD29" s="149"/>
    </row>
    <row r="30" ht="14.25" customHeight="1">
      <c r="A30" s="107" t="s">
        <v>103</v>
      </c>
      <c r="B30" s="16">
        <v>1013.0</v>
      </c>
      <c r="C30" s="96">
        <v>42.0</v>
      </c>
      <c r="D30" s="97">
        <f t="shared" si="18"/>
        <v>42546</v>
      </c>
      <c r="E30" s="65"/>
      <c r="F30" s="65"/>
      <c r="G30" s="65"/>
      <c r="H30" s="65"/>
      <c r="I30" s="65"/>
      <c r="J30" s="65"/>
      <c r="K30" s="127"/>
      <c r="L30" s="127"/>
      <c r="M30" s="127"/>
      <c r="N30" s="127"/>
      <c r="O30" s="127"/>
      <c r="P30" s="127"/>
      <c r="Q30" s="65"/>
      <c r="R30" s="65"/>
      <c r="S30" s="65"/>
      <c r="T30" s="65"/>
      <c r="U30" s="65"/>
      <c r="V30" s="140"/>
      <c r="W30" s="68"/>
      <c r="X30" s="152">
        <v>209574.0</v>
      </c>
      <c r="Y30" s="148" t="s">
        <v>406</v>
      </c>
      <c r="Z30" s="148" t="s">
        <v>290</v>
      </c>
      <c r="AA30" s="148">
        <v>4615.0</v>
      </c>
      <c r="AB30" s="148">
        <v>450.0</v>
      </c>
      <c r="AC30" s="147"/>
      <c r="AD30" s="149"/>
    </row>
    <row r="31" ht="14.25" customHeight="1">
      <c r="A31" s="107" t="s">
        <v>104</v>
      </c>
      <c r="B31" s="16">
        <v>1013.0</v>
      </c>
      <c r="C31" s="96">
        <v>48.0</v>
      </c>
      <c r="D31" s="97">
        <f t="shared" si="18"/>
        <v>48624</v>
      </c>
      <c r="E31" s="65"/>
      <c r="F31" s="65"/>
      <c r="G31" s="65"/>
      <c r="H31" s="65"/>
      <c r="I31" s="65"/>
      <c r="J31" s="65"/>
      <c r="K31" s="75" t="s">
        <v>163</v>
      </c>
      <c r="L31" s="76" t="s">
        <v>85</v>
      </c>
      <c r="M31" s="77" t="s">
        <v>164</v>
      </c>
      <c r="N31" s="159" t="s">
        <v>79</v>
      </c>
      <c r="O31" s="78" t="s">
        <v>165</v>
      </c>
      <c r="P31" s="79" t="s">
        <v>92</v>
      </c>
      <c r="Q31" s="79" t="s">
        <v>93</v>
      </c>
      <c r="R31" s="160" t="s">
        <v>94</v>
      </c>
      <c r="S31" s="65"/>
      <c r="T31" s="65"/>
      <c r="U31" s="65"/>
      <c r="V31" s="140"/>
      <c r="W31" s="68"/>
      <c r="X31" s="151"/>
      <c r="Y31" s="147"/>
      <c r="Z31" s="148" t="s">
        <v>310</v>
      </c>
      <c r="AA31" s="148">
        <v>4615.0</v>
      </c>
      <c r="AB31" s="148">
        <v>450.0</v>
      </c>
      <c r="AC31" s="147"/>
      <c r="AD31" s="149"/>
    </row>
    <row r="32" ht="14.25" customHeight="1">
      <c r="A32" s="107" t="s">
        <v>126</v>
      </c>
      <c r="B32" s="16">
        <v>1038.0</v>
      </c>
      <c r="C32" s="96">
        <v>3.0</v>
      </c>
      <c r="D32" s="97">
        <f t="shared" si="18"/>
        <v>3114</v>
      </c>
      <c r="E32" s="65"/>
      <c r="F32" s="65"/>
      <c r="G32" s="65"/>
      <c r="H32" s="65"/>
      <c r="I32" s="65"/>
      <c r="J32" s="65"/>
      <c r="K32" s="161" t="s">
        <v>102</v>
      </c>
      <c r="L32" s="162"/>
      <c r="M32" s="163"/>
      <c r="N32" s="164"/>
      <c r="O32" s="163"/>
      <c r="P32" s="163"/>
      <c r="Q32" s="163"/>
      <c r="R32" s="165"/>
      <c r="S32" s="166"/>
      <c r="T32" s="166"/>
      <c r="U32" s="166"/>
      <c r="V32" s="167"/>
      <c r="W32" s="68"/>
      <c r="X32" s="152">
        <v>209575.0</v>
      </c>
      <c r="Y32" s="148" t="s">
        <v>407</v>
      </c>
      <c r="Z32" s="148" t="s">
        <v>408</v>
      </c>
      <c r="AA32" s="148">
        <v>4690.0</v>
      </c>
      <c r="AB32" s="148">
        <v>375.0</v>
      </c>
      <c r="AC32" s="147"/>
      <c r="AD32" s="149"/>
    </row>
    <row r="33" ht="14.25" customHeight="1">
      <c r="A33" s="107" t="s">
        <v>129</v>
      </c>
      <c r="B33" s="16">
        <v>1038.0</v>
      </c>
      <c r="C33" s="106">
        <v>0.0</v>
      </c>
      <c r="D33" s="97">
        <f t="shared" si="18"/>
        <v>0</v>
      </c>
      <c r="E33" s="65"/>
      <c r="F33" s="65"/>
      <c r="G33" s="65"/>
      <c r="H33" s="65"/>
      <c r="I33" s="65"/>
      <c r="J33" s="65"/>
      <c r="K33" s="95" t="s">
        <v>107</v>
      </c>
      <c r="L33" s="189" t="str">
        <f>'DAILY STOCKS (SAT)'!Q33</f>
        <v/>
      </c>
      <c r="M33" s="108">
        <v>0.0</v>
      </c>
      <c r="N33" s="136">
        <f t="shared" ref="N33:N34" si="19">C4</f>
        <v>0</v>
      </c>
      <c r="O33" s="168"/>
      <c r="P33" s="169">
        <f t="shared" ref="P33:P34" si="20">L33+M33-N33-O33</f>
        <v>0</v>
      </c>
      <c r="Q33" s="168"/>
      <c r="R33" s="171">
        <f t="shared" ref="R33:R34" si="21">Q33-P33</f>
        <v>0</v>
      </c>
      <c r="S33" s="166"/>
      <c r="T33" s="166"/>
      <c r="U33" s="166"/>
      <c r="V33" s="167"/>
      <c r="W33" s="68"/>
      <c r="X33" s="151"/>
      <c r="Y33" s="147"/>
      <c r="Z33" s="148" t="s">
        <v>282</v>
      </c>
      <c r="AA33" s="148">
        <v>2814.0</v>
      </c>
      <c r="AB33" s="148">
        <v>225.0</v>
      </c>
      <c r="AC33" s="147"/>
      <c r="AD33" s="149"/>
    </row>
    <row r="34" ht="15.75" customHeight="1">
      <c r="A34" s="95" t="s">
        <v>132</v>
      </c>
      <c r="B34" s="16">
        <v>1965.0</v>
      </c>
      <c r="C34" s="106">
        <v>0.0</v>
      </c>
      <c r="D34" s="97">
        <f t="shared" si="18"/>
        <v>0</v>
      </c>
      <c r="E34" s="65"/>
      <c r="F34" s="65"/>
      <c r="G34" s="65"/>
      <c r="H34" s="65"/>
      <c r="I34" s="65"/>
      <c r="J34" s="65"/>
      <c r="K34" s="95" t="s">
        <v>111</v>
      </c>
      <c r="L34" s="189">
        <f>'DAILY STOCKS (SAT)'!Q34</f>
        <v>11</v>
      </c>
      <c r="M34" s="108">
        <v>0.0</v>
      </c>
      <c r="N34" s="136">
        <f t="shared" si="19"/>
        <v>4</v>
      </c>
      <c r="O34" s="168"/>
      <c r="P34" s="169">
        <f t="shared" si="20"/>
        <v>7</v>
      </c>
      <c r="Q34" s="170">
        <v>7.0</v>
      </c>
      <c r="R34" s="171">
        <f t="shared" si="21"/>
        <v>0</v>
      </c>
      <c r="S34" s="166"/>
      <c r="T34" s="166"/>
      <c r="U34" s="172"/>
      <c r="V34" s="167"/>
      <c r="W34" s="68"/>
      <c r="X34" s="152">
        <v>209576.0</v>
      </c>
      <c r="Y34" s="148" t="s">
        <v>203</v>
      </c>
      <c r="Z34" s="148" t="s">
        <v>316</v>
      </c>
      <c r="AA34" s="148">
        <v>1876.0</v>
      </c>
      <c r="AB34" s="148">
        <v>150.0</v>
      </c>
      <c r="AC34" s="147"/>
      <c r="AD34" s="149"/>
    </row>
    <row r="35" ht="15.75" customHeight="1">
      <c r="A35" s="107" t="s">
        <v>135</v>
      </c>
      <c r="B35" s="16">
        <v>4459.0</v>
      </c>
      <c r="C35" s="96">
        <v>2.0</v>
      </c>
      <c r="D35" s="97">
        <f t="shared" si="18"/>
        <v>8918</v>
      </c>
      <c r="E35" s="65"/>
      <c r="F35" s="65"/>
      <c r="G35" s="65"/>
      <c r="H35" s="65"/>
      <c r="I35" s="65"/>
      <c r="J35" s="65"/>
      <c r="K35" s="110" t="s">
        <v>114</v>
      </c>
      <c r="L35" s="173"/>
      <c r="M35" s="112"/>
      <c r="N35" s="174"/>
      <c r="O35" s="112"/>
      <c r="P35" s="112"/>
      <c r="Q35" s="112"/>
      <c r="R35" s="175"/>
      <c r="S35" s="166"/>
      <c r="T35" s="166"/>
      <c r="U35" s="166"/>
      <c r="V35" s="167"/>
      <c r="W35" s="68"/>
      <c r="X35" s="152">
        <v>209578.0</v>
      </c>
      <c r="Y35" s="148" t="s">
        <v>409</v>
      </c>
      <c r="Z35" s="148" t="s">
        <v>410</v>
      </c>
      <c r="AA35" s="147"/>
      <c r="AB35" s="147"/>
      <c r="AC35" s="148">
        <v>26754.0</v>
      </c>
      <c r="AD35" s="149"/>
    </row>
    <row r="36" ht="15.75" customHeight="1">
      <c r="A36" s="107" t="s">
        <v>138</v>
      </c>
      <c r="B36" s="16">
        <v>4459.0</v>
      </c>
      <c r="C36" s="96">
        <v>9.0</v>
      </c>
      <c r="D36" s="97">
        <f t="shared" si="18"/>
        <v>40131</v>
      </c>
      <c r="E36" s="65"/>
      <c r="F36" s="65"/>
      <c r="G36" s="65"/>
      <c r="H36" s="65"/>
      <c r="I36" s="65"/>
      <c r="J36" s="65"/>
      <c r="K36" s="95" t="s">
        <v>118</v>
      </c>
      <c r="L36" s="189">
        <f>'DAILY STOCKS (SAT)'!Q36</f>
        <v>18</v>
      </c>
      <c r="M36" s="108">
        <v>0.0</v>
      </c>
      <c r="N36" s="136">
        <f t="shared" ref="N36:N41" si="22">C7</f>
        <v>1</v>
      </c>
      <c r="O36" s="168"/>
      <c r="P36" s="169">
        <f t="shared" ref="P36:P41" si="23">L36+M36-N36-O36</f>
        <v>17</v>
      </c>
      <c r="Q36" s="170">
        <v>17.0</v>
      </c>
      <c r="R36" s="171">
        <f t="shared" ref="R36:R41" si="24">Q36-P36</f>
        <v>0</v>
      </c>
      <c r="S36" s="166"/>
      <c r="T36" s="166"/>
      <c r="U36" s="166"/>
      <c r="V36" s="167"/>
      <c r="W36" s="68"/>
      <c r="X36" s="152">
        <v>209579.0</v>
      </c>
      <c r="Y36" s="148" t="s">
        <v>411</v>
      </c>
      <c r="Z36" s="148" t="s">
        <v>329</v>
      </c>
      <c r="AA36" s="147"/>
      <c r="AB36" s="148">
        <v>375.0</v>
      </c>
      <c r="AC36" s="148">
        <v>4690.0</v>
      </c>
      <c r="AD36" s="149"/>
    </row>
    <row r="37" ht="15.75" customHeight="1">
      <c r="A37" s="114" t="s">
        <v>173</v>
      </c>
      <c r="B37" s="111"/>
      <c r="C37" s="112"/>
      <c r="D37" s="113"/>
      <c r="E37" s="65"/>
      <c r="F37" s="65"/>
      <c r="G37" s="65"/>
      <c r="H37" s="65"/>
      <c r="I37" s="65"/>
      <c r="J37" s="65"/>
      <c r="K37" s="95" t="s">
        <v>121</v>
      </c>
      <c r="L37" s="189">
        <f>'DAILY STOCKS (SAT)'!Q37</f>
        <v>2</v>
      </c>
      <c r="M37" s="108">
        <v>0.0</v>
      </c>
      <c r="N37" s="136">
        <f t="shared" si="22"/>
        <v>2</v>
      </c>
      <c r="O37" s="168"/>
      <c r="P37" s="169">
        <f t="shared" si="23"/>
        <v>0</v>
      </c>
      <c r="Q37" s="168"/>
      <c r="R37" s="171">
        <f t="shared" si="24"/>
        <v>0</v>
      </c>
      <c r="S37" s="166"/>
      <c r="T37" s="166"/>
      <c r="U37" s="166"/>
      <c r="V37" s="167"/>
      <c r="W37" s="68"/>
      <c r="X37" s="151"/>
      <c r="Y37" s="147"/>
      <c r="Z37" s="148" t="s">
        <v>290</v>
      </c>
      <c r="AA37" s="147"/>
      <c r="AB37" s="148">
        <v>375.0</v>
      </c>
      <c r="AC37" s="148">
        <v>4690.0</v>
      </c>
      <c r="AD37" s="149"/>
    </row>
    <row r="38" ht="15.75" customHeight="1">
      <c r="A38" s="95" t="s">
        <v>109</v>
      </c>
      <c r="B38" s="176">
        <f t="shared" ref="B38:B48" si="25">B26</f>
        <v>280</v>
      </c>
      <c r="C38" s="106">
        <v>0.0</v>
      </c>
      <c r="D38" s="97">
        <f t="shared" ref="D38:D48" si="26">C38*B38</f>
        <v>0</v>
      </c>
      <c r="E38" s="65"/>
      <c r="F38" s="65"/>
      <c r="G38" s="65"/>
      <c r="H38" s="65"/>
      <c r="I38" s="65"/>
      <c r="J38" s="65"/>
      <c r="K38" s="95" t="s">
        <v>123</v>
      </c>
      <c r="L38" s="189">
        <f>'DAILY STOCKS (SAT)'!Q38</f>
        <v>84</v>
      </c>
      <c r="M38" s="108">
        <v>0.0</v>
      </c>
      <c r="N38" s="136">
        <f t="shared" si="22"/>
        <v>3</v>
      </c>
      <c r="O38" s="168"/>
      <c r="P38" s="169">
        <f t="shared" si="23"/>
        <v>81</v>
      </c>
      <c r="Q38" s="170">
        <v>81.0</v>
      </c>
      <c r="R38" s="171">
        <f t="shared" si="24"/>
        <v>0</v>
      </c>
      <c r="S38" s="166"/>
      <c r="T38" s="166"/>
      <c r="U38" s="166"/>
      <c r="V38" s="167"/>
      <c r="W38" s="68"/>
      <c r="X38" s="152">
        <v>209580.0</v>
      </c>
      <c r="Y38" s="148" t="s">
        <v>412</v>
      </c>
      <c r="Z38" s="148" t="s">
        <v>310</v>
      </c>
      <c r="AA38" s="147"/>
      <c r="AB38" s="148">
        <v>375.0</v>
      </c>
      <c r="AC38" s="148">
        <v>4690.0</v>
      </c>
      <c r="AD38" s="149"/>
    </row>
    <row r="39" ht="15.75" customHeight="1">
      <c r="A39" s="107" t="s">
        <v>112</v>
      </c>
      <c r="B39" s="176">
        <f t="shared" si="25"/>
        <v>280</v>
      </c>
      <c r="C39" s="96">
        <v>0.0</v>
      </c>
      <c r="D39" s="97">
        <f t="shared" si="26"/>
        <v>0</v>
      </c>
      <c r="E39" s="65"/>
      <c r="F39" s="65"/>
      <c r="G39" s="65"/>
      <c r="H39" s="65"/>
      <c r="I39" s="65"/>
      <c r="J39" s="65"/>
      <c r="K39" s="95" t="s">
        <v>125</v>
      </c>
      <c r="L39" s="189" t="str">
        <f>'DAILY STOCKS (SAT)'!Q39</f>
        <v/>
      </c>
      <c r="M39" s="108">
        <v>0.0</v>
      </c>
      <c r="N39" s="136">
        <f t="shared" si="22"/>
        <v>0</v>
      </c>
      <c r="O39" s="168"/>
      <c r="P39" s="169">
        <f t="shared" si="23"/>
        <v>0</v>
      </c>
      <c r="Q39" s="168"/>
      <c r="R39" s="171">
        <f t="shared" si="24"/>
        <v>0</v>
      </c>
      <c r="S39" s="166"/>
      <c r="T39" s="166"/>
      <c r="U39" s="166"/>
      <c r="V39" s="167"/>
      <c r="W39" s="68"/>
      <c r="X39" s="151"/>
      <c r="Y39" s="147"/>
      <c r="Z39" s="148" t="s">
        <v>290</v>
      </c>
      <c r="AA39" s="147"/>
      <c r="AB39" s="148">
        <v>375.0</v>
      </c>
      <c r="AC39" s="148">
        <v>4690.0</v>
      </c>
      <c r="AD39" s="149"/>
    </row>
    <row r="40" ht="15.75" customHeight="1">
      <c r="A40" s="107" t="s">
        <v>115</v>
      </c>
      <c r="B40" s="176">
        <f t="shared" si="25"/>
        <v>688</v>
      </c>
      <c r="C40" s="96">
        <v>0.0</v>
      </c>
      <c r="D40" s="97">
        <f t="shared" si="26"/>
        <v>0</v>
      </c>
      <c r="E40" s="65"/>
      <c r="F40" s="65"/>
      <c r="G40" s="65"/>
      <c r="H40" s="65"/>
      <c r="I40" s="65"/>
      <c r="J40" s="65"/>
      <c r="K40" s="95" t="s">
        <v>128</v>
      </c>
      <c r="L40" s="189" t="str">
        <f>'DAILY STOCKS (SAT)'!Q40</f>
        <v/>
      </c>
      <c r="M40" s="108">
        <v>0.0</v>
      </c>
      <c r="N40" s="136">
        <f t="shared" si="22"/>
        <v>0</v>
      </c>
      <c r="O40" s="168"/>
      <c r="P40" s="169">
        <f t="shared" si="23"/>
        <v>0</v>
      </c>
      <c r="Q40" s="168"/>
      <c r="R40" s="171">
        <f t="shared" si="24"/>
        <v>0</v>
      </c>
      <c r="S40" s="166"/>
      <c r="T40" s="166"/>
      <c r="U40" s="166"/>
      <c r="V40" s="167"/>
      <c r="W40" s="68"/>
      <c r="X40" s="152">
        <v>209581.0</v>
      </c>
      <c r="Y40" s="148" t="s">
        <v>413</v>
      </c>
      <c r="Z40" s="148" t="s">
        <v>257</v>
      </c>
      <c r="AA40" s="148">
        <v>988.0</v>
      </c>
      <c r="AB40" s="148">
        <v>25.0</v>
      </c>
      <c r="AC40" s="147"/>
      <c r="AD40" s="149"/>
    </row>
    <row r="41" ht="15.75" customHeight="1">
      <c r="A41" s="107" t="s">
        <v>119</v>
      </c>
      <c r="B41" s="176">
        <f t="shared" si="25"/>
        <v>688</v>
      </c>
      <c r="C41" s="96">
        <v>0.0</v>
      </c>
      <c r="D41" s="97">
        <f t="shared" si="26"/>
        <v>0</v>
      </c>
      <c r="E41" s="65"/>
      <c r="F41" s="65"/>
      <c r="G41" s="65"/>
      <c r="H41" s="65"/>
      <c r="I41" s="65"/>
      <c r="J41" s="65"/>
      <c r="K41" s="117" t="s">
        <v>131</v>
      </c>
      <c r="L41" s="222" t="str">
        <f>'DAILY STOCKS (SAT)'!Q41</f>
        <v/>
      </c>
      <c r="M41" s="119">
        <v>0.0</v>
      </c>
      <c r="N41" s="154">
        <f t="shared" si="22"/>
        <v>0</v>
      </c>
      <c r="O41" s="178"/>
      <c r="P41" s="179">
        <f t="shared" si="23"/>
        <v>0</v>
      </c>
      <c r="Q41" s="178"/>
      <c r="R41" s="181">
        <f t="shared" si="24"/>
        <v>0</v>
      </c>
      <c r="S41" s="166"/>
      <c r="T41" s="166"/>
      <c r="U41" s="166"/>
      <c r="V41" s="167"/>
      <c r="W41" s="68"/>
      <c r="X41" s="152">
        <v>209583.0</v>
      </c>
      <c r="Y41" s="148" t="s">
        <v>414</v>
      </c>
      <c r="Z41" s="148" t="s">
        <v>262</v>
      </c>
      <c r="AA41" s="148">
        <v>988.0</v>
      </c>
      <c r="AB41" s="148">
        <v>25.0</v>
      </c>
      <c r="AC41" s="147"/>
      <c r="AD41" s="149"/>
    </row>
    <row r="42" ht="15.75" customHeight="1">
      <c r="A42" s="107" t="s">
        <v>103</v>
      </c>
      <c r="B42" s="176">
        <f t="shared" si="25"/>
        <v>1013</v>
      </c>
      <c r="C42" s="96">
        <v>0.0</v>
      </c>
      <c r="D42" s="97">
        <f t="shared" si="26"/>
        <v>0</v>
      </c>
      <c r="E42" s="65"/>
      <c r="F42" s="65"/>
      <c r="G42" s="65"/>
      <c r="H42" s="65"/>
      <c r="I42" s="65"/>
      <c r="J42" s="65"/>
      <c r="Q42" s="166"/>
      <c r="R42" s="166"/>
      <c r="S42" s="166"/>
      <c r="T42" s="166"/>
      <c r="U42" s="166"/>
      <c r="V42" s="167"/>
      <c r="W42" s="68"/>
      <c r="X42" s="152">
        <v>209584.0</v>
      </c>
      <c r="Y42" s="148" t="s">
        <v>415</v>
      </c>
      <c r="Z42" s="148" t="s">
        <v>259</v>
      </c>
      <c r="AA42" s="148">
        <v>280.0</v>
      </c>
      <c r="AB42" s="147"/>
      <c r="AC42" s="147"/>
      <c r="AD42" s="149"/>
    </row>
    <row r="43" ht="15.75" customHeight="1">
      <c r="A43" s="107" t="s">
        <v>104</v>
      </c>
      <c r="B43" s="176">
        <f t="shared" si="25"/>
        <v>1013</v>
      </c>
      <c r="C43" s="96">
        <v>0.0</v>
      </c>
      <c r="D43" s="97">
        <f t="shared" si="26"/>
        <v>0</v>
      </c>
      <c r="E43" s="65"/>
      <c r="F43" s="65"/>
      <c r="G43" s="65"/>
      <c r="H43" s="65"/>
      <c r="I43" s="65"/>
      <c r="J43" s="65"/>
      <c r="Q43" s="166"/>
      <c r="R43" s="166"/>
      <c r="S43" s="166"/>
      <c r="T43" s="166"/>
      <c r="U43" s="166"/>
      <c r="V43" s="167"/>
      <c r="W43" s="68"/>
      <c r="X43" s="152">
        <v>209585.0</v>
      </c>
      <c r="Y43" s="148" t="s">
        <v>416</v>
      </c>
      <c r="Z43" s="148" t="s">
        <v>259</v>
      </c>
      <c r="AA43" s="148">
        <v>280.0</v>
      </c>
      <c r="AB43" s="147"/>
      <c r="AC43" s="147"/>
      <c r="AD43" s="149"/>
    </row>
    <row r="44" ht="15.75" customHeight="1">
      <c r="A44" s="107" t="s">
        <v>126</v>
      </c>
      <c r="B44" s="176">
        <f t="shared" si="25"/>
        <v>1038</v>
      </c>
      <c r="C44" s="106">
        <v>0.0</v>
      </c>
      <c r="D44" s="97">
        <f t="shared" si="26"/>
        <v>0</v>
      </c>
      <c r="E44" s="65"/>
      <c r="F44" s="65"/>
      <c r="G44" s="65"/>
      <c r="H44" s="65"/>
      <c r="I44" s="65"/>
      <c r="J44" s="65"/>
      <c r="K44" s="128" t="s">
        <v>182</v>
      </c>
      <c r="L44" s="72" t="s">
        <v>85</v>
      </c>
      <c r="M44" s="72" t="s">
        <v>92</v>
      </c>
      <c r="N44" s="130" t="s">
        <v>94</v>
      </c>
      <c r="O44" s="235"/>
      <c r="Q44" s="166"/>
      <c r="R44" s="166"/>
      <c r="S44" s="183"/>
      <c r="T44" s="183"/>
      <c r="U44" s="183"/>
      <c r="V44" s="184"/>
      <c r="W44" s="68"/>
      <c r="X44" s="152">
        <v>209586.0</v>
      </c>
      <c r="Y44" s="148" t="s">
        <v>417</v>
      </c>
      <c r="Z44" s="148" t="s">
        <v>257</v>
      </c>
      <c r="AA44" s="148">
        <v>938.0</v>
      </c>
      <c r="AB44" s="148">
        <v>75.0</v>
      </c>
      <c r="AC44" s="147"/>
      <c r="AD44" s="149"/>
    </row>
    <row r="45" ht="15.75" customHeight="1">
      <c r="A45" s="107" t="s">
        <v>129</v>
      </c>
      <c r="B45" s="176">
        <f t="shared" si="25"/>
        <v>1038</v>
      </c>
      <c r="C45" s="106">
        <v>0.0</v>
      </c>
      <c r="D45" s="97">
        <f t="shared" si="26"/>
        <v>0</v>
      </c>
      <c r="E45" s="65"/>
      <c r="F45" s="65"/>
      <c r="G45" s="65"/>
      <c r="H45" s="65"/>
      <c r="I45" s="65"/>
      <c r="J45" s="65"/>
      <c r="K45" s="203" t="s">
        <v>109</v>
      </c>
      <c r="L45" s="101">
        <f t="shared" ref="L45:L55" si="27">L4+L18</f>
        <v>68</v>
      </c>
      <c r="M45" s="132">
        <f t="shared" ref="M45:M55" si="28">T4+Q18</f>
        <v>67</v>
      </c>
      <c r="N45" s="135">
        <f t="shared" ref="N45:N55" si="29">M45-L45</f>
        <v>-1</v>
      </c>
      <c r="O45" s="65"/>
      <c r="P45" s="166"/>
      <c r="Q45" s="183"/>
      <c r="R45" s="183"/>
      <c r="S45" s="187"/>
      <c r="T45" s="187"/>
      <c r="U45" s="187"/>
      <c r="V45" s="188"/>
      <c r="W45" s="68"/>
      <c r="X45" s="152">
        <v>209587.0</v>
      </c>
      <c r="Y45" s="148" t="s">
        <v>353</v>
      </c>
      <c r="Z45" s="148" t="s">
        <v>257</v>
      </c>
      <c r="AA45" s="148">
        <v>938.0</v>
      </c>
      <c r="AB45" s="148">
        <v>75.0</v>
      </c>
      <c r="AC45" s="147"/>
      <c r="AD45" s="149"/>
    </row>
    <row r="46" ht="15.75" customHeight="1">
      <c r="A46" s="95" t="s">
        <v>132</v>
      </c>
      <c r="B46" s="176">
        <f t="shared" si="25"/>
        <v>1965</v>
      </c>
      <c r="C46" s="106">
        <v>0.0</v>
      </c>
      <c r="D46" s="97">
        <f t="shared" si="26"/>
        <v>0</v>
      </c>
      <c r="E46" s="68"/>
      <c r="F46" s="68"/>
      <c r="G46" s="68"/>
      <c r="H46" s="68"/>
      <c r="I46" s="68"/>
      <c r="J46" s="68"/>
      <c r="K46" s="98" t="s">
        <v>112</v>
      </c>
      <c r="L46" s="189">
        <f t="shared" si="27"/>
        <v>17</v>
      </c>
      <c r="M46" s="136">
        <f t="shared" si="28"/>
        <v>17</v>
      </c>
      <c r="N46" s="139">
        <f t="shared" si="29"/>
        <v>0</v>
      </c>
      <c r="O46" s="65"/>
      <c r="P46" s="187"/>
      <c r="Q46" s="187"/>
      <c r="R46" s="187"/>
      <c r="S46" s="187"/>
      <c r="T46" s="187"/>
      <c r="U46" s="187"/>
      <c r="V46" s="188"/>
      <c r="W46" s="68"/>
      <c r="X46" s="152">
        <v>209588.0</v>
      </c>
      <c r="Y46" s="148" t="s">
        <v>418</v>
      </c>
      <c r="Z46" s="148" t="s">
        <v>419</v>
      </c>
      <c r="AA46" s="148">
        <v>900.0</v>
      </c>
      <c r="AB46" s="147"/>
      <c r="AC46" s="147"/>
      <c r="AD46" s="149"/>
    </row>
    <row r="47" ht="15.75" customHeight="1">
      <c r="A47" s="107" t="s">
        <v>135</v>
      </c>
      <c r="B47" s="176">
        <f t="shared" si="25"/>
        <v>4459</v>
      </c>
      <c r="C47" s="106">
        <v>0.0</v>
      </c>
      <c r="D47" s="97">
        <f t="shared" si="26"/>
        <v>0</v>
      </c>
      <c r="E47" s="68"/>
      <c r="F47" s="68"/>
      <c r="G47" s="68"/>
      <c r="H47" s="68"/>
      <c r="I47" s="68"/>
      <c r="J47" s="68"/>
      <c r="K47" s="204" t="s">
        <v>188</v>
      </c>
      <c r="L47" s="189">
        <f t="shared" si="27"/>
        <v>19</v>
      </c>
      <c r="M47" s="136">
        <f t="shared" si="28"/>
        <v>19</v>
      </c>
      <c r="N47" s="139">
        <f t="shared" si="29"/>
        <v>0</v>
      </c>
      <c r="O47" s="65"/>
      <c r="P47" s="187"/>
      <c r="Q47" s="187"/>
      <c r="R47" s="187"/>
      <c r="S47" s="187"/>
      <c r="T47" s="187"/>
      <c r="U47" s="187"/>
      <c r="V47" s="188"/>
      <c r="W47" s="68"/>
      <c r="X47" s="151"/>
      <c r="Y47" s="147"/>
      <c r="Z47" s="148" t="s">
        <v>259</v>
      </c>
      <c r="AA47" s="148">
        <v>268.0</v>
      </c>
      <c r="AB47" s="148">
        <v>12.0</v>
      </c>
      <c r="AC47" s="147"/>
      <c r="AD47" s="149"/>
    </row>
    <row r="48" ht="15.75" customHeight="1">
      <c r="A48" s="107" t="s">
        <v>138</v>
      </c>
      <c r="B48" s="190">
        <f t="shared" si="25"/>
        <v>4459</v>
      </c>
      <c r="C48" s="191">
        <v>0.0</v>
      </c>
      <c r="D48" s="97">
        <f t="shared" si="26"/>
        <v>0</v>
      </c>
      <c r="E48" s="68"/>
      <c r="F48" s="68"/>
      <c r="G48" s="68"/>
      <c r="H48" s="68"/>
      <c r="I48" s="68"/>
      <c r="J48" s="68"/>
      <c r="K48" s="204" t="s">
        <v>190</v>
      </c>
      <c r="L48" s="189">
        <f t="shared" si="27"/>
        <v>31</v>
      </c>
      <c r="M48" s="136">
        <f t="shared" si="28"/>
        <v>32</v>
      </c>
      <c r="N48" s="139">
        <f t="shared" si="29"/>
        <v>1</v>
      </c>
      <c r="O48" s="65"/>
      <c r="P48" s="187"/>
      <c r="Q48" s="187"/>
      <c r="R48" s="187"/>
      <c r="S48" s="187"/>
      <c r="T48" s="187"/>
      <c r="U48" s="187"/>
      <c r="V48" s="188"/>
      <c r="W48" s="68"/>
      <c r="X48" s="151"/>
      <c r="Y48" s="147"/>
      <c r="Z48" s="148" t="s">
        <v>420</v>
      </c>
      <c r="AA48" s="148">
        <v>650.0</v>
      </c>
      <c r="AB48" s="147"/>
      <c r="AC48" s="147"/>
      <c r="AD48" s="149"/>
    </row>
    <row r="49" ht="15.75" customHeight="1">
      <c r="A49" s="128" t="s">
        <v>80</v>
      </c>
      <c r="B49" s="192"/>
      <c r="C49" s="64"/>
      <c r="D49" s="193">
        <f>sum(D4:D48)</f>
        <v>155929</v>
      </c>
      <c r="E49" s="68"/>
      <c r="F49" s="68"/>
      <c r="G49" s="68"/>
      <c r="H49" s="68"/>
      <c r="I49" s="68"/>
      <c r="J49" s="68"/>
      <c r="K49" s="204" t="s">
        <v>191</v>
      </c>
      <c r="L49" s="189">
        <f t="shared" si="27"/>
        <v>151</v>
      </c>
      <c r="M49" s="136">
        <f t="shared" si="28"/>
        <v>151</v>
      </c>
      <c r="N49" s="139">
        <f t="shared" si="29"/>
        <v>0</v>
      </c>
      <c r="O49" s="65"/>
      <c r="P49" s="187"/>
      <c r="Q49" s="187"/>
      <c r="R49" s="187"/>
      <c r="S49" s="187"/>
      <c r="T49" s="187"/>
      <c r="U49" s="187"/>
      <c r="V49" s="188"/>
      <c r="W49" s="68"/>
      <c r="X49" s="152">
        <v>209589.0</v>
      </c>
      <c r="Y49" s="148" t="s">
        <v>421</v>
      </c>
      <c r="Z49" s="148" t="s">
        <v>257</v>
      </c>
      <c r="AA49" s="148">
        <v>938.0</v>
      </c>
      <c r="AB49" s="148">
        <v>75.0</v>
      </c>
      <c r="AC49" s="147"/>
      <c r="AD49" s="149"/>
    </row>
    <row r="50" ht="15.75" customHeight="1">
      <c r="A50" s="194"/>
      <c r="B50" s="54"/>
      <c r="C50" s="65"/>
      <c r="D50" s="59"/>
      <c r="E50" s="68"/>
      <c r="F50" s="68"/>
      <c r="G50" s="68"/>
      <c r="H50" s="68"/>
      <c r="I50" s="68"/>
      <c r="J50" s="68"/>
      <c r="K50" s="204" t="s">
        <v>194</v>
      </c>
      <c r="L50" s="189">
        <f t="shared" si="27"/>
        <v>149</v>
      </c>
      <c r="M50" s="136">
        <f t="shared" si="28"/>
        <v>147</v>
      </c>
      <c r="N50" s="139">
        <f t="shared" si="29"/>
        <v>-2</v>
      </c>
      <c r="O50" s="65"/>
      <c r="P50" s="187"/>
      <c r="Q50" s="187"/>
      <c r="R50" s="187"/>
      <c r="S50" s="187"/>
      <c r="T50" s="187"/>
      <c r="U50" s="187"/>
      <c r="V50" s="188"/>
      <c r="W50" s="68"/>
      <c r="X50" s="152">
        <v>209590.0</v>
      </c>
      <c r="Y50" s="148" t="s">
        <v>422</v>
      </c>
      <c r="Z50" s="148" t="s">
        <v>262</v>
      </c>
      <c r="AA50" s="148">
        <v>1013.0</v>
      </c>
      <c r="AB50" s="147"/>
      <c r="AC50" s="147"/>
      <c r="AD50" s="149"/>
    </row>
    <row r="51" ht="15.75" customHeight="1">
      <c r="A51" s="195"/>
      <c r="B51" s="196"/>
      <c r="C51" s="127"/>
      <c r="D51" s="59"/>
      <c r="E51" s="68"/>
      <c r="F51" s="68"/>
      <c r="G51" s="68"/>
      <c r="H51" s="68"/>
      <c r="I51" s="68"/>
      <c r="J51" s="68"/>
      <c r="K51" s="204" t="s">
        <v>197</v>
      </c>
      <c r="L51" s="189">
        <f t="shared" si="27"/>
        <v>10</v>
      </c>
      <c r="M51" s="136">
        <f t="shared" si="28"/>
        <v>10</v>
      </c>
      <c r="N51" s="139">
        <f t="shared" si="29"/>
        <v>0</v>
      </c>
      <c r="O51" s="65"/>
      <c r="P51" s="187"/>
      <c r="Q51" s="187"/>
      <c r="R51" s="187"/>
      <c r="S51" s="187"/>
      <c r="T51" s="187"/>
      <c r="U51" s="187"/>
      <c r="V51" s="188"/>
      <c r="W51" s="68"/>
      <c r="X51" s="152">
        <v>209591.0</v>
      </c>
      <c r="Y51" s="148" t="s">
        <v>217</v>
      </c>
      <c r="Z51" s="148" t="s">
        <v>259</v>
      </c>
      <c r="AA51" s="148">
        <v>268.0</v>
      </c>
      <c r="AB51" s="148">
        <v>12.0</v>
      </c>
      <c r="AC51" s="147"/>
      <c r="AD51" s="149"/>
    </row>
    <row r="52" ht="15.75" customHeight="1">
      <c r="A52" s="197" t="s">
        <v>199</v>
      </c>
      <c r="B52" s="71" t="s">
        <v>200</v>
      </c>
      <c r="C52" s="65"/>
      <c r="D52" s="59"/>
      <c r="E52" s="68"/>
      <c r="F52" s="68"/>
      <c r="G52" s="68"/>
      <c r="H52" s="68"/>
      <c r="I52" s="68"/>
      <c r="J52" s="68"/>
      <c r="K52" s="204" t="s">
        <v>201</v>
      </c>
      <c r="L52" s="189">
        <f t="shared" si="27"/>
        <v>75</v>
      </c>
      <c r="M52" s="136">
        <f t="shared" si="28"/>
        <v>75</v>
      </c>
      <c r="N52" s="139">
        <f t="shared" si="29"/>
        <v>0</v>
      </c>
      <c r="O52" s="65"/>
      <c r="P52" s="187"/>
      <c r="Q52" s="187"/>
      <c r="R52" s="187"/>
      <c r="S52" s="187"/>
      <c r="T52" s="187"/>
      <c r="U52" s="187"/>
      <c r="V52" s="188"/>
      <c r="W52" s="68"/>
      <c r="X52" s="152">
        <v>209592.0</v>
      </c>
      <c r="Y52" s="148" t="s">
        <v>423</v>
      </c>
      <c r="Z52" s="148" t="s">
        <v>424</v>
      </c>
      <c r="AA52" s="148">
        <v>375.0</v>
      </c>
      <c r="AB52" s="147"/>
      <c r="AC52" s="147"/>
      <c r="AD52" s="149"/>
    </row>
    <row r="53" ht="15.75" customHeight="1">
      <c r="A53" s="95" t="s">
        <v>109</v>
      </c>
      <c r="B53" s="198">
        <v>1200.0</v>
      </c>
      <c r="C53" s="127"/>
      <c r="D53" s="59"/>
      <c r="K53" s="204" t="s">
        <v>132</v>
      </c>
      <c r="L53" s="189">
        <f t="shared" si="27"/>
        <v>6</v>
      </c>
      <c r="M53" s="136">
        <f t="shared" si="28"/>
        <v>6</v>
      </c>
      <c r="N53" s="139">
        <f t="shared" si="29"/>
        <v>0</v>
      </c>
      <c r="O53" s="65"/>
      <c r="P53" s="187"/>
      <c r="Q53" s="187"/>
      <c r="R53" s="187"/>
      <c r="S53" s="187"/>
      <c r="T53" s="187"/>
      <c r="U53" s="187"/>
      <c r="V53" s="188"/>
      <c r="X53" s="143"/>
      <c r="Y53" s="137"/>
      <c r="Z53" s="141" t="s">
        <v>304</v>
      </c>
      <c r="AA53" s="141">
        <v>180.0</v>
      </c>
      <c r="AB53" s="137"/>
      <c r="AC53" s="137"/>
      <c r="AD53" s="144"/>
    </row>
    <row r="54" ht="15.75" customHeight="1">
      <c r="A54" s="107" t="s">
        <v>112</v>
      </c>
      <c r="B54" s="199">
        <v>1200.0</v>
      </c>
      <c r="C54" s="127"/>
      <c r="D54" s="200"/>
      <c r="K54" s="204" t="s">
        <v>204</v>
      </c>
      <c r="L54" s="189">
        <f t="shared" si="27"/>
        <v>31</v>
      </c>
      <c r="M54" s="136">
        <f t="shared" si="28"/>
        <v>31</v>
      </c>
      <c r="N54" s="139">
        <f t="shared" si="29"/>
        <v>0</v>
      </c>
      <c r="O54" s="65"/>
      <c r="P54" s="187"/>
      <c r="Q54" s="187"/>
      <c r="R54" s="187"/>
      <c r="S54" s="187"/>
      <c r="T54" s="187"/>
      <c r="U54" s="187"/>
      <c r="V54" s="188"/>
      <c r="X54" s="143"/>
      <c r="Y54" s="137"/>
      <c r="Z54" s="141" t="s">
        <v>305</v>
      </c>
      <c r="AA54" s="141">
        <v>20.0</v>
      </c>
      <c r="AB54" s="137"/>
      <c r="AC54" s="137"/>
      <c r="AD54" s="144"/>
    </row>
    <row r="55" ht="15.75" customHeight="1">
      <c r="A55" s="107" t="s">
        <v>115</v>
      </c>
      <c r="B55" s="199">
        <v>1900.0</v>
      </c>
      <c r="C55" s="127"/>
      <c r="D55" s="196"/>
      <c r="K55" s="209" t="s">
        <v>206</v>
      </c>
      <c r="L55" s="222">
        <f t="shared" si="27"/>
        <v>16</v>
      </c>
      <c r="M55" s="154">
        <f t="shared" si="28"/>
        <v>16</v>
      </c>
      <c r="N55" s="158">
        <f t="shared" si="29"/>
        <v>0</v>
      </c>
      <c r="O55" s="65"/>
      <c r="P55" s="187"/>
      <c r="Q55" s="187"/>
      <c r="R55" s="187"/>
      <c r="S55" s="187"/>
      <c r="T55" s="187"/>
      <c r="U55" s="187"/>
      <c r="V55" s="188"/>
      <c r="X55" s="177">
        <v>209593.0</v>
      </c>
      <c r="Y55" s="141" t="s">
        <v>425</v>
      </c>
      <c r="Z55" s="141" t="s">
        <v>426</v>
      </c>
      <c r="AA55" s="137"/>
      <c r="AB55" s="141">
        <v>400.0</v>
      </c>
      <c r="AC55" s="141">
        <v>4059.0</v>
      </c>
      <c r="AD55" s="144"/>
    </row>
    <row r="56" ht="15.75" customHeight="1">
      <c r="A56" s="107" t="s">
        <v>119</v>
      </c>
      <c r="B56" s="199">
        <v>1900.0</v>
      </c>
      <c r="C56" s="127"/>
      <c r="D56" s="196"/>
      <c r="E56" s="65"/>
      <c r="F56" s="65"/>
      <c r="G56" s="65"/>
      <c r="H56" s="65"/>
      <c r="I56" s="65"/>
      <c r="J56" s="65"/>
      <c r="K56" s="166"/>
      <c r="L56" s="201"/>
      <c r="P56" s="187"/>
      <c r="Q56" s="187"/>
      <c r="R56" s="187"/>
      <c r="S56" s="187"/>
      <c r="T56" s="187"/>
      <c r="U56" s="187"/>
      <c r="V56" s="188"/>
      <c r="X56" s="177">
        <v>209594.0</v>
      </c>
      <c r="Y56" s="141" t="s">
        <v>427</v>
      </c>
      <c r="Z56" s="141" t="s">
        <v>257</v>
      </c>
      <c r="AA56" s="141">
        <v>938.0</v>
      </c>
      <c r="AB56" s="141">
        <v>75.0</v>
      </c>
      <c r="AC56" s="137"/>
      <c r="AD56" s="144"/>
    </row>
    <row r="57" ht="15.75" customHeight="1">
      <c r="A57" s="107" t="s">
        <v>103</v>
      </c>
      <c r="B57" s="199">
        <v>2000.0</v>
      </c>
      <c r="C57" s="127"/>
      <c r="D57" s="196"/>
      <c r="E57" s="65"/>
      <c r="F57" s="65"/>
      <c r="G57" s="65"/>
      <c r="H57" s="65"/>
      <c r="I57" s="65"/>
      <c r="J57" s="65"/>
      <c r="K57" s="166"/>
      <c r="L57" s="202"/>
      <c r="M57" s="166"/>
      <c r="N57" s="166"/>
      <c r="O57" s="166"/>
      <c r="P57" s="187"/>
      <c r="Q57" s="187"/>
      <c r="R57" s="187"/>
      <c r="X57" s="177">
        <v>209595.0</v>
      </c>
      <c r="Y57" s="141" t="s">
        <v>428</v>
      </c>
      <c r="Z57" s="141" t="s">
        <v>259</v>
      </c>
      <c r="AA57" s="141">
        <v>280.0</v>
      </c>
      <c r="AB57" s="137"/>
      <c r="AC57" s="137"/>
      <c r="AD57" s="144"/>
    </row>
    <row r="58" ht="15.75" customHeight="1">
      <c r="A58" s="107" t="s">
        <v>104</v>
      </c>
      <c r="B58" s="199">
        <v>2000.0</v>
      </c>
      <c r="C58" s="127"/>
      <c r="D58" s="196"/>
      <c r="E58" s="65"/>
      <c r="F58" s="65"/>
      <c r="G58" s="65"/>
      <c r="H58" s="65"/>
      <c r="I58" s="65"/>
      <c r="J58" s="65"/>
      <c r="K58" s="128" t="s">
        <v>90</v>
      </c>
      <c r="L58" s="72" t="s">
        <v>85</v>
      </c>
      <c r="M58" s="128" t="s">
        <v>90</v>
      </c>
      <c r="N58" s="72" t="s">
        <v>145</v>
      </c>
      <c r="O58" s="72" t="s">
        <v>92</v>
      </c>
      <c r="X58" s="177">
        <v>209500.0</v>
      </c>
      <c r="Y58" s="141" t="s">
        <v>429</v>
      </c>
      <c r="Z58" s="141" t="s">
        <v>430</v>
      </c>
      <c r="AA58" s="137"/>
      <c r="AB58" s="141">
        <v>800.0</v>
      </c>
      <c r="AC58" s="141">
        <v>8118.0</v>
      </c>
      <c r="AD58" s="144"/>
    </row>
    <row r="59" ht="15.75" customHeight="1">
      <c r="A59" s="107" t="s">
        <v>126</v>
      </c>
      <c r="B59" s="199">
        <v>3700.0</v>
      </c>
      <c r="C59" s="127"/>
      <c r="D59" s="196"/>
      <c r="E59" s="65"/>
      <c r="F59" s="65"/>
      <c r="G59" s="65"/>
      <c r="H59" s="65"/>
      <c r="I59" s="65"/>
      <c r="J59" s="65"/>
      <c r="K59" s="203" t="s">
        <v>109</v>
      </c>
      <c r="L59" s="101">
        <f>'DAILY STOCKS (SAT)'!O59</f>
        <v>0</v>
      </c>
      <c r="M59" s="132">
        <f t="shared" ref="M59:M69" si="30">R4</f>
        <v>0</v>
      </c>
      <c r="N59" s="132" t="str">
        <f t="shared" ref="N59:N69" si="31">P18</f>
        <v/>
      </c>
      <c r="O59" s="135">
        <f t="shared" ref="O59:O69" si="32">L59+M59-N59</f>
        <v>0</v>
      </c>
      <c r="X59" s="177">
        <v>207551.0</v>
      </c>
      <c r="Y59" s="141" t="s">
        <v>431</v>
      </c>
      <c r="Z59" s="141" t="s">
        <v>262</v>
      </c>
      <c r="AA59" s="141">
        <v>988.0</v>
      </c>
      <c r="AB59" s="141">
        <v>25.0</v>
      </c>
      <c r="AC59" s="137"/>
      <c r="AD59" s="144"/>
    </row>
    <row r="60" ht="15.75" customHeight="1">
      <c r="A60" s="107" t="s">
        <v>129</v>
      </c>
      <c r="B60" s="199">
        <v>3700.0</v>
      </c>
      <c r="C60" s="127"/>
      <c r="D60" s="196"/>
      <c r="E60" s="65"/>
      <c r="F60" s="65"/>
      <c r="G60" s="65"/>
      <c r="H60" s="65"/>
      <c r="I60" s="65"/>
      <c r="J60" s="65"/>
      <c r="K60" s="98" t="s">
        <v>112</v>
      </c>
      <c r="L60" s="101">
        <f>'DAILY STOCKS (SAT)'!O60</f>
        <v>0</v>
      </c>
      <c r="M60" s="136">
        <f t="shared" si="30"/>
        <v>0</v>
      </c>
      <c r="N60" s="136" t="str">
        <f t="shared" si="31"/>
        <v/>
      </c>
      <c r="O60" s="139">
        <f t="shared" si="32"/>
        <v>0</v>
      </c>
      <c r="X60" s="177">
        <v>207553.0</v>
      </c>
      <c r="Y60" s="141" t="s">
        <v>432</v>
      </c>
      <c r="Z60" s="141" t="s">
        <v>257</v>
      </c>
      <c r="AA60" s="141">
        <v>1013.0</v>
      </c>
      <c r="AB60" s="137"/>
      <c r="AC60" s="137"/>
      <c r="AD60" s="144"/>
    </row>
    <row r="61" ht="15.75" customHeight="1">
      <c r="A61" s="95" t="s">
        <v>132</v>
      </c>
      <c r="B61" s="199">
        <v>3700.0</v>
      </c>
      <c r="C61" s="127"/>
      <c r="D61" s="59"/>
      <c r="E61" s="65"/>
      <c r="F61" s="65"/>
      <c r="G61" s="65"/>
      <c r="H61" s="65"/>
      <c r="I61" s="65"/>
      <c r="J61" s="65"/>
      <c r="K61" s="204" t="s">
        <v>188</v>
      </c>
      <c r="L61" s="101">
        <f>'DAILY STOCKS (SAT)'!O61</f>
        <v>0</v>
      </c>
      <c r="M61" s="136">
        <f t="shared" si="30"/>
        <v>0</v>
      </c>
      <c r="N61" s="136" t="str">
        <f t="shared" si="31"/>
        <v/>
      </c>
      <c r="O61" s="139">
        <f t="shared" si="32"/>
        <v>0</v>
      </c>
      <c r="X61" s="177">
        <v>207554.0</v>
      </c>
      <c r="Y61" s="141" t="s">
        <v>433</v>
      </c>
      <c r="Z61" s="141" t="s">
        <v>262</v>
      </c>
      <c r="AA61" s="141">
        <v>1013.0</v>
      </c>
      <c r="AB61" s="137"/>
      <c r="AC61" s="137"/>
      <c r="AD61" s="144"/>
    </row>
    <row r="62" ht="15.75" customHeight="1">
      <c r="A62" s="107" t="s">
        <v>135</v>
      </c>
      <c r="B62" s="199">
        <v>5000.0</v>
      </c>
      <c r="C62" s="127"/>
      <c r="D62" s="59"/>
      <c r="E62" s="65"/>
      <c r="F62" s="65"/>
      <c r="G62" s="65"/>
      <c r="H62" s="65"/>
      <c r="I62" s="65"/>
      <c r="J62" s="65"/>
      <c r="K62" s="204" t="s">
        <v>190</v>
      </c>
      <c r="L62" s="101">
        <f>'DAILY STOCKS (SAT)'!O62</f>
        <v>0</v>
      </c>
      <c r="M62" s="136">
        <f t="shared" si="30"/>
        <v>0</v>
      </c>
      <c r="N62" s="136">
        <f t="shared" si="31"/>
        <v>1</v>
      </c>
      <c r="O62" s="139">
        <f t="shared" si="32"/>
        <v>-1</v>
      </c>
      <c r="X62" s="177">
        <v>209555.0</v>
      </c>
      <c r="Y62" s="141" t="s">
        <v>353</v>
      </c>
      <c r="Z62" s="141" t="s">
        <v>257</v>
      </c>
      <c r="AA62" s="141">
        <v>938.0</v>
      </c>
      <c r="AB62" s="141">
        <v>75.0</v>
      </c>
      <c r="AC62" s="137"/>
      <c r="AD62" s="144"/>
    </row>
    <row r="63" ht="15.75" customHeight="1">
      <c r="A63" s="117" t="s">
        <v>138</v>
      </c>
      <c r="B63" s="205">
        <v>5000.0</v>
      </c>
      <c r="C63" s="127"/>
      <c r="D63" s="59"/>
      <c r="E63" s="65"/>
      <c r="F63" s="65"/>
      <c r="G63" s="65"/>
      <c r="H63" s="65"/>
      <c r="I63" s="65"/>
      <c r="J63" s="65"/>
      <c r="K63" s="204" t="s">
        <v>191</v>
      </c>
      <c r="L63" s="101">
        <f>'DAILY STOCKS (SAT)'!O63</f>
        <v>-1</v>
      </c>
      <c r="M63" s="136">
        <f t="shared" si="30"/>
        <v>0</v>
      </c>
      <c r="N63" s="136" t="str">
        <f t="shared" si="31"/>
        <v/>
      </c>
      <c r="O63" s="139">
        <f t="shared" si="32"/>
        <v>-1</v>
      </c>
      <c r="X63" s="177">
        <v>209556.0</v>
      </c>
      <c r="Y63" s="141" t="s">
        <v>434</v>
      </c>
      <c r="Z63" s="141" t="s">
        <v>257</v>
      </c>
      <c r="AA63" s="141">
        <v>1013.0</v>
      </c>
      <c r="AB63" s="137"/>
      <c r="AC63" s="137"/>
      <c r="AD63" s="144"/>
    </row>
    <row r="64" ht="15.75" customHeight="1">
      <c r="A64" s="195"/>
      <c r="B64" s="206"/>
      <c r="C64" s="207"/>
      <c r="D64" s="59"/>
      <c r="E64" s="65"/>
      <c r="F64" s="65"/>
      <c r="G64" s="65"/>
      <c r="H64" s="65"/>
      <c r="I64" s="65"/>
      <c r="J64" s="65"/>
      <c r="K64" s="204" t="s">
        <v>194</v>
      </c>
      <c r="L64" s="101">
        <f>'DAILY STOCKS (SAT)'!O64</f>
        <v>0</v>
      </c>
      <c r="M64" s="136">
        <f t="shared" si="30"/>
        <v>0</v>
      </c>
      <c r="N64" s="136" t="str">
        <f t="shared" si="31"/>
        <v/>
      </c>
      <c r="O64" s="139">
        <f t="shared" si="32"/>
        <v>0</v>
      </c>
      <c r="X64" s="177">
        <v>209557.0</v>
      </c>
      <c r="Y64" s="141" t="s">
        <v>435</v>
      </c>
      <c r="Z64" s="141" t="s">
        <v>262</v>
      </c>
      <c r="AA64" s="141">
        <v>1013.0</v>
      </c>
      <c r="AB64" s="137"/>
      <c r="AC64" s="137"/>
      <c r="AD64" s="144"/>
    </row>
    <row r="65" ht="15.75" customHeight="1">
      <c r="A65" s="195"/>
      <c r="B65" s="206"/>
      <c r="C65" s="207"/>
      <c r="D65" s="206"/>
      <c r="E65" s="65"/>
      <c r="F65" s="65"/>
      <c r="G65" s="65"/>
      <c r="H65" s="65"/>
      <c r="I65" s="65"/>
      <c r="J65" s="65"/>
      <c r="K65" s="204" t="s">
        <v>197</v>
      </c>
      <c r="L65" s="101">
        <f>'DAILY STOCKS (SAT)'!O65</f>
        <v>0</v>
      </c>
      <c r="M65" s="136">
        <f t="shared" si="30"/>
        <v>0</v>
      </c>
      <c r="N65" s="136" t="str">
        <f t="shared" si="31"/>
        <v/>
      </c>
      <c r="O65" s="139">
        <f t="shared" si="32"/>
        <v>0</v>
      </c>
      <c r="X65" s="177">
        <v>209558.0</v>
      </c>
      <c r="Y65" s="141" t="s">
        <v>436</v>
      </c>
      <c r="Z65" s="141" t="s">
        <v>257</v>
      </c>
      <c r="AA65" s="141">
        <v>938.0</v>
      </c>
      <c r="AB65" s="141">
        <v>75.0</v>
      </c>
      <c r="AC65" s="137"/>
      <c r="AD65" s="144"/>
    </row>
    <row r="66" ht="15.75" customHeight="1">
      <c r="A66" s="195"/>
      <c r="B66" s="206"/>
      <c r="C66" s="207"/>
      <c r="D66" s="206"/>
      <c r="E66" s="208"/>
      <c r="F66" s="208"/>
      <c r="G66" s="208"/>
      <c r="H66" s="208"/>
      <c r="I66" s="208"/>
      <c r="J66" s="208"/>
      <c r="K66" s="204" t="s">
        <v>201</v>
      </c>
      <c r="L66" s="101">
        <f>'DAILY STOCKS (SAT)'!O66</f>
        <v>0</v>
      </c>
      <c r="M66" s="136">
        <f t="shared" si="30"/>
        <v>0</v>
      </c>
      <c r="N66" s="136" t="str">
        <f t="shared" si="31"/>
        <v/>
      </c>
      <c r="O66" s="139">
        <f t="shared" si="32"/>
        <v>0</v>
      </c>
      <c r="S66" s="187"/>
      <c r="T66" s="187"/>
      <c r="U66" s="187"/>
      <c r="V66" s="188"/>
      <c r="X66" s="177">
        <v>209559.0</v>
      </c>
      <c r="Y66" s="141" t="s">
        <v>437</v>
      </c>
      <c r="Z66" s="141" t="s">
        <v>257</v>
      </c>
      <c r="AA66" s="141">
        <v>1013.0</v>
      </c>
      <c r="AB66" s="137"/>
      <c r="AC66" s="137"/>
      <c r="AD66" s="144"/>
    </row>
    <row r="67" ht="15.75" customHeight="1">
      <c r="A67" s="195"/>
      <c r="B67" s="206"/>
      <c r="C67" s="207"/>
      <c r="D67" s="206"/>
      <c r="E67" s="65"/>
      <c r="F67" s="65"/>
      <c r="G67" s="65"/>
      <c r="H67" s="65"/>
      <c r="I67" s="65"/>
      <c r="J67" s="65"/>
      <c r="K67" s="204" t="s">
        <v>132</v>
      </c>
      <c r="L67" s="101">
        <f>'DAILY STOCKS (SAT)'!O67</f>
        <v>0</v>
      </c>
      <c r="M67" s="136">
        <f t="shared" si="30"/>
        <v>0</v>
      </c>
      <c r="N67" s="136" t="str">
        <f t="shared" si="31"/>
        <v/>
      </c>
      <c r="O67" s="139">
        <f t="shared" si="32"/>
        <v>0</v>
      </c>
      <c r="P67" s="187"/>
      <c r="Q67" s="187"/>
      <c r="R67" s="187"/>
      <c r="S67" s="187"/>
      <c r="T67" s="187"/>
      <c r="U67" s="187"/>
      <c r="V67" s="188"/>
      <c r="X67" s="177">
        <v>209560.0</v>
      </c>
      <c r="Y67" s="141" t="s">
        <v>438</v>
      </c>
      <c r="Z67" s="141" t="s">
        <v>262</v>
      </c>
      <c r="AA67" s="141">
        <v>988.0</v>
      </c>
      <c r="AB67" s="141">
        <v>25.0</v>
      </c>
      <c r="AC67" s="141"/>
      <c r="AD67" s="144"/>
    </row>
    <row r="68" ht="15.75" customHeight="1">
      <c r="A68" s="195"/>
      <c r="B68" s="206"/>
      <c r="C68" s="207"/>
      <c r="D68" s="206"/>
      <c r="E68" s="65"/>
      <c r="F68" s="65"/>
      <c r="G68" s="65"/>
      <c r="H68" s="65"/>
      <c r="I68" s="65"/>
      <c r="J68" s="65"/>
      <c r="K68" s="204" t="s">
        <v>204</v>
      </c>
      <c r="L68" s="101">
        <f>'DAILY STOCKS (SAT)'!O68</f>
        <v>0</v>
      </c>
      <c r="M68" s="136">
        <f t="shared" si="30"/>
        <v>0</v>
      </c>
      <c r="N68" s="136" t="str">
        <f t="shared" si="31"/>
        <v/>
      </c>
      <c r="O68" s="139">
        <f t="shared" si="32"/>
        <v>0</v>
      </c>
      <c r="P68" s="187"/>
      <c r="Q68" s="187"/>
      <c r="R68" s="187"/>
      <c r="S68" s="187"/>
      <c r="T68" s="187"/>
      <c r="U68" s="187"/>
      <c r="V68" s="188"/>
      <c r="X68" s="177">
        <v>209561.0</v>
      </c>
      <c r="Y68" s="141" t="s">
        <v>313</v>
      </c>
      <c r="Z68" s="141" t="s">
        <v>426</v>
      </c>
      <c r="AA68" s="137"/>
      <c r="AB68" s="141">
        <v>400.0</v>
      </c>
      <c r="AC68" s="141">
        <v>4059.0</v>
      </c>
      <c r="AD68" s="144"/>
    </row>
    <row r="69" ht="15.75" customHeight="1">
      <c r="A69" s="195"/>
      <c r="B69" s="206"/>
      <c r="C69" s="207"/>
      <c r="D69" s="206"/>
      <c r="E69" s="65"/>
      <c r="F69" s="65"/>
      <c r="G69" s="65"/>
      <c r="H69" s="65"/>
      <c r="I69" s="65"/>
      <c r="J69" s="65"/>
      <c r="K69" s="209" t="s">
        <v>206</v>
      </c>
      <c r="L69" s="122">
        <f>'DAILY STOCKS (SAT)'!O69</f>
        <v>0</v>
      </c>
      <c r="M69" s="154">
        <f t="shared" si="30"/>
        <v>0</v>
      </c>
      <c r="N69" s="154" t="str">
        <f t="shared" si="31"/>
        <v/>
      </c>
      <c r="O69" s="158">
        <f t="shared" si="32"/>
        <v>0</v>
      </c>
      <c r="P69" s="187"/>
      <c r="Q69" s="187"/>
      <c r="R69" s="187"/>
      <c r="S69" s="187"/>
      <c r="T69" s="187"/>
      <c r="U69" s="187"/>
      <c r="V69" s="188"/>
      <c r="X69" s="177"/>
      <c r="Y69" s="137"/>
      <c r="Z69" s="141" t="s">
        <v>439</v>
      </c>
      <c r="AA69" s="137"/>
      <c r="AB69" s="141">
        <v>225.0</v>
      </c>
      <c r="AC69" s="141">
        <v>2889.0</v>
      </c>
      <c r="AD69" s="144"/>
    </row>
    <row r="70" ht="15.75" customHeight="1">
      <c r="A70" s="195"/>
      <c r="B70" s="206"/>
      <c r="C70" s="207"/>
      <c r="D70" s="206"/>
      <c r="E70" s="65"/>
      <c r="F70" s="65"/>
      <c r="G70" s="65"/>
      <c r="H70" s="65"/>
      <c r="I70" s="65"/>
      <c r="J70" s="65"/>
      <c r="K70" s="65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8"/>
      <c r="X70" s="177">
        <v>209562.0</v>
      </c>
      <c r="Y70" s="141" t="s">
        <v>440</v>
      </c>
      <c r="Z70" s="141" t="s">
        <v>402</v>
      </c>
      <c r="AA70" s="141">
        <v>600.0</v>
      </c>
      <c r="AB70" s="137"/>
      <c r="AC70" s="137"/>
      <c r="AD70" s="144"/>
      <c r="AE70" s="236" t="s">
        <v>441</v>
      </c>
    </row>
    <row r="71" ht="15.75" customHeight="1">
      <c r="A71" s="195"/>
      <c r="B71" s="206"/>
      <c r="C71" s="207"/>
      <c r="D71" s="206"/>
      <c r="E71" s="65"/>
      <c r="F71" s="65"/>
      <c r="G71" s="65"/>
      <c r="H71" s="65"/>
      <c r="I71" s="65"/>
      <c r="J71" s="65"/>
      <c r="K71" s="65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8"/>
      <c r="X71" s="143"/>
      <c r="Y71" s="137"/>
      <c r="Z71" s="141" t="s">
        <v>257</v>
      </c>
      <c r="AA71" s="141">
        <v>988.0</v>
      </c>
      <c r="AB71" s="141">
        <v>25.0</v>
      </c>
      <c r="AC71" s="137"/>
      <c r="AD71" s="144"/>
    </row>
    <row r="72" ht="15.75" customHeight="1">
      <c r="A72" s="195"/>
      <c r="B72" s="206"/>
      <c r="C72" s="207"/>
      <c r="D72" s="206"/>
      <c r="E72" s="210"/>
      <c r="F72" s="210"/>
      <c r="G72" s="210"/>
      <c r="H72" s="210"/>
      <c r="I72" s="210"/>
      <c r="J72" s="210"/>
      <c r="K72" s="65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8"/>
      <c r="X72" s="143"/>
      <c r="Y72" s="137"/>
      <c r="Z72" s="141" t="s">
        <v>403</v>
      </c>
      <c r="AA72" s="141">
        <v>375.0</v>
      </c>
      <c r="AB72" s="137"/>
      <c r="AC72" s="137"/>
      <c r="AD72" s="144"/>
    </row>
    <row r="73" ht="15.75" customHeight="1">
      <c r="A73" s="195"/>
      <c r="B73" s="206"/>
      <c r="C73" s="207"/>
      <c r="D73" s="206"/>
      <c r="E73" s="207"/>
      <c r="F73" s="207"/>
      <c r="G73" s="207"/>
      <c r="H73" s="207"/>
      <c r="I73" s="207"/>
      <c r="J73" s="207"/>
      <c r="K73" s="65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8"/>
      <c r="X73" s="177">
        <v>209563.0</v>
      </c>
      <c r="Y73" s="141" t="s">
        <v>442</v>
      </c>
      <c r="Z73" s="141" t="s">
        <v>402</v>
      </c>
      <c r="AA73" s="141">
        <v>2000.0</v>
      </c>
      <c r="AB73" s="137"/>
      <c r="AC73" s="137"/>
      <c r="AD73" s="144"/>
    </row>
    <row r="74" ht="15.75" customHeight="1">
      <c r="A74" s="195"/>
      <c r="B74" s="206"/>
      <c r="C74" s="207"/>
      <c r="D74" s="206"/>
      <c r="E74" s="207"/>
      <c r="F74" s="207"/>
      <c r="G74" s="207"/>
      <c r="H74" s="207"/>
      <c r="I74" s="207"/>
      <c r="J74" s="207"/>
      <c r="K74" s="65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8"/>
      <c r="X74" s="143"/>
      <c r="Y74" s="137"/>
      <c r="Z74" s="141" t="s">
        <v>257</v>
      </c>
      <c r="AA74" s="141">
        <v>1000.0</v>
      </c>
      <c r="AB74" s="141">
        <v>13.0</v>
      </c>
      <c r="AC74" s="137"/>
      <c r="AD74" s="144"/>
    </row>
    <row r="75" ht="15.75" customHeight="1">
      <c r="A75" s="195"/>
      <c r="B75" s="206"/>
      <c r="C75" s="207"/>
      <c r="D75" s="206"/>
      <c r="E75" s="207"/>
      <c r="F75" s="207"/>
      <c r="G75" s="207"/>
      <c r="H75" s="207"/>
      <c r="I75" s="207"/>
      <c r="J75" s="207"/>
      <c r="K75" s="65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8"/>
      <c r="X75" s="143"/>
      <c r="Y75" s="137"/>
      <c r="Z75" s="141" t="s">
        <v>403</v>
      </c>
      <c r="AA75" s="141">
        <v>375.0</v>
      </c>
      <c r="AB75" s="137"/>
      <c r="AC75" s="137"/>
      <c r="AD75" s="144"/>
    </row>
    <row r="76" ht="15.75" customHeight="1">
      <c r="A76" s="195"/>
      <c r="B76" s="206"/>
      <c r="C76" s="207"/>
      <c r="D76" s="206"/>
      <c r="E76" s="207"/>
      <c r="F76" s="207"/>
      <c r="G76" s="207"/>
      <c r="H76" s="207"/>
      <c r="I76" s="207"/>
      <c r="J76" s="207"/>
      <c r="K76" s="65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8"/>
      <c r="X76" s="143"/>
      <c r="Y76" s="137"/>
      <c r="Z76" s="141" t="s">
        <v>305</v>
      </c>
      <c r="AA76" s="141">
        <v>20.0</v>
      </c>
      <c r="AB76" s="137"/>
      <c r="AC76" s="137"/>
      <c r="AD76" s="144"/>
    </row>
    <row r="77" ht="15.75" customHeight="1">
      <c r="A77" s="195"/>
      <c r="B77" s="206"/>
      <c r="C77" s="207"/>
      <c r="D77" s="206"/>
      <c r="E77" s="207"/>
      <c r="F77" s="207"/>
      <c r="G77" s="207"/>
      <c r="H77" s="207"/>
      <c r="I77" s="207"/>
      <c r="J77" s="207"/>
      <c r="K77" s="65"/>
      <c r="L77" s="187"/>
      <c r="M77" s="187"/>
      <c r="N77" s="187"/>
      <c r="O77" s="187"/>
      <c r="P77" s="187"/>
      <c r="Q77" s="187"/>
      <c r="R77" s="187"/>
      <c r="S77" s="187"/>
      <c r="T77" s="187"/>
      <c r="U77" s="187"/>
      <c r="V77" s="188"/>
      <c r="X77" s="177">
        <v>209564.0</v>
      </c>
      <c r="Y77" s="141" t="s">
        <v>443</v>
      </c>
      <c r="Z77" s="141" t="s">
        <v>257</v>
      </c>
      <c r="AA77" s="141">
        <v>988.0</v>
      </c>
      <c r="AB77" s="141">
        <v>25.0</v>
      </c>
      <c r="AC77" s="137"/>
      <c r="AD77" s="144"/>
    </row>
    <row r="78" ht="15.75" customHeight="1">
      <c r="A78" s="195"/>
      <c r="B78" s="206"/>
      <c r="C78" s="207"/>
      <c r="D78" s="206"/>
      <c r="E78" s="207"/>
      <c r="F78" s="207"/>
      <c r="G78" s="207"/>
      <c r="H78" s="207"/>
      <c r="I78" s="207"/>
      <c r="J78" s="207"/>
      <c r="K78" s="65"/>
      <c r="L78" s="187"/>
      <c r="M78" s="187"/>
      <c r="N78" s="187"/>
      <c r="O78" s="187"/>
      <c r="P78" s="187"/>
      <c r="Q78" s="187"/>
      <c r="R78" s="187"/>
      <c r="S78" s="187"/>
      <c r="T78" s="187"/>
      <c r="U78" s="187"/>
      <c r="V78" s="188"/>
      <c r="X78" s="177">
        <v>209565.0</v>
      </c>
      <c r="Y78" s="141" t="s">
        <v>444</v>
      </c>
      <c r="Z78" s="141" t="s">
        <v>259</v>
      </c>
      <c r="AA78" s="141">
        <v>280.0</v>
      </c>
      <c r="AB78" s="137"/>
      <c r="AC78" s="137"/>
      <c r="AD78" s="144"/>
    </row>
    <row r="79" ht="15.75" customHeight="1">
      <c r="A79" s="195"/>
      <c r="B79" s="206"/>
      <c r="C79" s="207"/>
      <c r="D79" s="206"/>
      <c r="E79" s="207"/>
      <c r="F79" s="207"/>
      <c r="G79" s="207"/>
      <c r="H79" s="207"/>
      <c r="I79" s="207"/>
      <c r="J79" s="207"/>
      <c r="K79" s="65"/>
      <c r="L79" s="187"/>
      <c r="M79" s="187"/>
      <c r="N79" s="187"/>
      <c r="O79" s="187"/>
      <c r="P79" s="187"/>
      <c r="Q79" s="187"/>
      <c r="R79" s="187"/>
      <c r="S79" s="187"/>
      <c r="T79" s="187"/>
      <c r="U79" s="187"/>
      <c r="V79" s="188"/>
      <c r="X79" s="177">
        <v>209566.0</v>
      </c>
      <c r="Y79" s="141" t="s">
        <v>218</v>
      </c>
      <c r="Z79" s="141" t="s">
        <v>259</v>
      </c>
      <c r="AA79" s="141">
        <v>280.0</v>
      </c>
      <c r="AB79" s="137"/>
      <c r="AC79" s="137"/>
      <c r="AD79" s="144"/>
    </row>
    <row r="80" ht="15.75" customHeight="1">
      <c r="A80" s="195"/>
      <c r="B80" s="206"/>
      <c r="C80" s="207"/>
      <c r="D80" s="206"/>
      <c r="E80" s="207"/>
      <c r="F80" s="207"/>
      <c r="G80" s="207"/>
      <c r="H80" s="207"/>
      <c r="I80" s="207"/>
      <c r="J80" s="207"/>
      <c r="K80" s="65"/>
      <c r="L80" s="187"/>
      <c r="M80" s="187"/>
      <c r="N80" s="187"/>
      <c r="O80" s="187"/>
      <c r="P80" s="187"/>
      <c r="Q80" s="187"/>
      <c r="R80" s="187"/>
      <c r="S80" s="187"/>
      <c r="T80" s="187"/>
      <c r="U80" s="187"/>
      <c r="V80" s="188"/>
      <c r="X80" s="177">
        <v>209567.0</v>
      </c>
      <c r="Y80" s="141" t="s">
        <v>445</v>
      </c>
      <c r="Z80" s="141" t="s">
        <v>257</v>
      </c>
      <c r="AA80" s="141">
        <v>988.0</v>
      </c>
      <c r="AB80" s="141">
        <v>25.0</v>
      </c>
      <c r="AC80" s="137"/>
      <c r="AD80" s="144"/>
    </row>
    <row r="81" ht="15.75" customHeight="1">
      <c r="A81" s="195"/>
      <c r="B81" s="59"/>
      <c r="C81" s="207"/>
      <c r="D81" s="206"/>
      <c r="E81" s="207"/>
      <c r="F81" s="207"/>
      <c r="G81" s="207"/>
      <c r="H81" s="207"/>
      <c r="I81" s="207"/>
      <c r="J81" s="207"/>
      <c r="K81" s="65"/>
      <c r="L81" s="187"/>
      <c r="M81" s="187"/>
      <c r="N81" s="187"/>
      <c r="O81" s="187"/>
      <c r="P81" s="187"/>
      <c r="Q81" s="187"/>
      <c r="R81" s="187"/>
      <c r="S81" s="187"/>
      <c r="T81" s="187"/>
      <c r="U81" s="187"/>
      <c r="V81" s="188"/>
      <c r="X81" s="177">
        <v>209568.0</v>
      </c>
      <c r="Y81" s="141" t="s">
        <v>446</v>
      </c>
      <c r="Z81" s="141" t="s">
        <v>262</v>
      </c>
      <c r="AA81" s="141">
        <v>988.0</v>
      </c>
      <c r="AB81" s="141">
        <v>25.0</v>
      </c>
      <c r="AC81" s="137"/>
      <c r="AD81" s="144"/>
    </row>
    <row r="82" ht="15.75" customHeight="1">
      <c r="A82" s="195"/>
      <c r="B82" s="59"/>
      <c r="C82" s="207"/>
      <c r="D82" s="206"/>
      <c r="E82" s="207"/>
      <c r="F82" s="207"/>
      <c r="G82" s="207"/>
      <c r="H82" s="207"/>
      <c r="I82" s="207"/>
      <c r="J82" s="207"/>
      <c r="K82" s="65"/>
      <c r="L82" s="187"/>
      <c r="M82" s="187"/>
      <c r="N82" s="187"/>
      <c r="O82" s="187"/>
      <c r="P82" s="187"/>
      <c r="Q82" s="187"/>
      <c r="R82" s="187"/>
      <c r="S82" s="187"/>
      <c r="T82" s="187"/>
      <c r="U82" s="187"/>
      <c r="V82" s="188"/>
      <c r="X82" s="143"/>
      <c r="Y82" s="137"/>
      <c r="Z82" s="137"/>
      <c r="AA82" s="137"/>
      <c r="AB82" s="137"/>
      <c r="AC82" s="137"/>
      <c r="AD82" s="144"/>
    </row>
    <row r="83" ht="15.75" customHeight="1">
      <c r="A83" s="195"/>
      <c r="B83" s="59"/>
      <c r="C83" s="207"/>
      <c r="D83" s="206"/>
      <c r="E83" s="207"/>
      <c r="F83" s="207"/>
      <c r="G83" s="207"/>
      <c r="H83" s="207"/>
      <c r="I83" s="207"/>
      <c r="J83" s="207"/>
      <c r="K83" s="65"/>
      <c r="L83" s="187"/>
      <c r="M83" s="187"/>
      <c r="N83" s="187"/>
      <c r="O83" s="187"/>
      <c r="P83" s="187"/>
      <c r="Q83" s="187"/>
      <c r="R83" s="187"/>
      <c r="S83" s="187"/>
      <c r="T83" s="187"/>
      <c r="U83" s="187"/>
      <c r="V83" s="188"/>
      <c r="X83" s="143"/>
      <c r="Y83" s="137"/>
      <c r="Z83" s="137"/>
      <c r="AA83" s="137"/>
      <c r="AB83" s="137"/>
      <c r="AC83" s="137"/>
      <c r="AD83" s="144"/>
    </row>
    <row r="84" ht="15.75" customHeight="1">
      <c r="A84" s="195"/>
      <c r="B84" s="59"/>
      <c r="C84" s="207"/>
      <c r="D84" s="206"/>
      <c r="E84" s="207"/>
      <c r="F84" s="207"/>
      <c r="G84" s="207"/>
      <c r="H84" s="207"/>
      <c r="I84" s="207"/>
      <c r="J84" s="207"/>
      <c r="K84" s="65"/>
      <c r="L84" s="187"/>
      <c r="M84" s="187"/>
      <c r="N84" s="187"/>
      <c r="O84" s="187"/>
      <c r="P84" s="187"/>
      <c r="Q84" s="187"/>
      <c r="R84" s="187"/>
      <c r="S84" s="187"/>
      <c r="T84" s="187"/>
      <c r="U84" s="187"/>
      <c r="V84" s="188"/>
      <c r="X84" s="143"/>
      <c r="Y84" s="137"/>
      <c r="Z84" s="137"/>
      <c r="AA84" s="137"/>
      <c r="AB84" s="137"/>
      <c r="AC84" s="137"/>
      <c r="AD84" s="144"/>
    </row>
    <row r="85" ht="15.75" customHeight="1">
      <c r="A85" s="195"/>
      <c r="B85" s="59"/>
      <c r="C85" s="207"/>
      <c r="D85" s="59"/>
      <c r="E85" s="207"/>
      <c r="F85" s="207"/>
      <c r="G85" s="207"/>
      <c r="H85" s="207"/>
      <c r="I85" s="207"/>
      <c r="J85" s="207"/>
      <c r="K85" s="65"/>
      <c r="L85" s="187"/>
      <c r="M85" s="187"/>
      <c r="N85" s="187"/>
      <c r="O85" s="187"/>
      <c r="P85" s="187"/>
      <c r="Q85" s="187"/>
      <c r="R85" s="187"/>
      <c r="S85" s="187"/>
      <c r="T85" s="187"/>
      <c r="U85" s="187"/>
      <c r="V85" s="188"/>
      <c r="X85" s="143"/>
      <c r="Y85" s="137"/>
      <c r="Z85" s="137"/>
      <c r="AA85" s="137"/>
      <c r="AB85" s="137"/>
      <c r="AC85" s="137"/>
      <c r="AD85" s="144"/>
    </row>
    <row r="86" ht="15.75" customHeight="1">
      <c r="A86" s="195"/>
      <c r="B86" s="59"/>
      <c r="C86" s="207"/>
      <c r="D86" s="59"/>
      <c r="E86" s="207"/>
      <c r="F86" s="207"/>
      <c r="G86" s="207"/>
      <c r="H86" s="207"/>
      <c r="I86" s="207"/>
      <c r="J86" s="207"/>
      <c r="K86" s="65"/>
      <c r="L86" s="187"/>
      <c r="M86" s="187"/>
      <c r="N86" s="187"/>
      <c r="O86" s="187"/>
      <c r="P86" s="187"/>
      <c r="Q86" s="187"/>
      <c r="R86" s="187"/>
      <c r="S86" s="187"/>
      <c r="T86" s="187"/>
      <c r="U86" s="187"/>
      <c r="V86" s="188"/>
      <c r="X86" s="143"/>
      <c r="Y86" s="137"/>
      <c r="Z86" s="137"/>
      <c r="AA86" s="137"/>
      <c r="AB86" s="137"/>
      <c r="AC86" s="137"/>
      <c r="AD86" s="144"/>
    </row>
    <row r="87" ht="15.75" customHeight="1">
      <c r="A87" s="195"/>
      <c r="B87" s="59"/>
      <c r="C87" s="207"/>
      <c r="D87" s="59"/>
      <c r="E87" s="207"/>
      <c r="F87" s="207"/>
      <c r="G87" s="207"/>
      <c r="H87" s="207"/>
      <c r="I87" s="207"/>
      <c r="J87" s="207"/>
      <c r="K87" s="65"/>
      <c r="L87" s="187"/>
      <c r="M87" s="187"/>
      <c r="N87" s="187"/>
      <c r="O87" s="187"/>
      <c r="P87" s="187"/>
      <c r="Q87" s="187"/>
      <c r="R87" s="187"/>
      <c r="S87" s="187"/>
      <c r="T87" s="187"/>
      <c r="U87" s="187"/>
      <c r="V87" s="188"/>
      <c r="X87" s="143"/>
      <c r="Y87" s="137"/>
      <c r="Z87" s="137"/>
      <c r="AA87" s="137"/>
      <c r="AB87" s="137"/>
      <c r="AC87" s="137"/>
      <c r="AD87" s="144"/>
    </row>
    <row r="88" ht="15.75" customHeight="1">
      <c r="A88" s="195"/>
      <c r="B88" s="59"/>
      <c r="C88" s="207"/>
      <c r="D88" s="59"/>
      <c r="E88" s="207"/>
      <c r="F88" s="207"/>
      <c r="G88" s="207"/>
      <c r="H88" s="207"/>
      <c r="I88" s="207"/>
      <c r="J88" s="207"/>
      <c r="K88" s="65"/>
      <c r="L88" s="187"/>
      <c r="M88" s="187"/>
      <c r="N88" s="187"/>
      <c r="O88" s="187"/>
      <c r="P88" s="187"/>
      <c r="Q88" s="187"/>
      <c r="R88" s="187"/>
      <c r="S88" s="187"/>
      <c r="T88" s="187"/>
      <c r="U88" s="187"/>
      <c r="V88" s="188"/>
      <c r="X88" s="143"/>
      <c r="Y88" s="137"/>
      <c r="Z88" s="137"/>
      <c r="AA88" s="137"/>
      <c r="AB88" s="137"/>
      <c r="AC88" s="137"/>
      <c r="AD88" s="144"/>
    </row>
    <row r="89" ht="15.75" customHeight="1">
      <c r="A89" s="195"/>
      <c r="B89" s="59"/>
      <c r="C89" s="207"/>
      <c r="D89" s="59"/>
      <c r="E89" s="207"/>
      <c r="F89" s="207"/>
      <c r="G89" s="207"/>
      <c r="H89" s="207"/>
      <c r="I89" s="207"/>
      <c r="J89" s="207"/>
      <c r="K89" s="65"/>
      <c r="L89" s="187"/>
      <c r="M89" s="187"/>
      <c r="N89" s="187"/>
      <c r="O89" s="187"/>
      <c r="P89" s="187"/>
      <c r="Q89" s="187"/>
      <c r="R89" s="187"/>
      <c r="S89" s="187"/>
      <c r="T89" s="187"/>
      <c r="U89" s="187"/>
      <c r="V89" s="188"/>
      <c r="X89" s="143"/>
      <c r="Y89" s="137"/>
      <c r="Z89" s="137"/>
      <c r="AA89" s="137"/>
      <c r="AB89" s="137"/>
      <c r="AC89" s="137"/>
      <c r="AD89" s="144"/>
    </row>
    <row r="90" ht="15.75" customHeight="1">
      <c r="A90" s="195"/>
      <c r="B90" s="59"/>
      <c r="C90" s="207"/>
      <c r="D90" s="59"/>
      <c r="E90" s="207"/>
      <c r="F90" s="207"/>
      <c r="G90" s="207"/>
      <c r="H90" s="207"/>
      <c r="I90" s="207"/>
      <c r="J90" s="207"/>
      <c r="K90" s="65"/>
      <c r="L90" s="187"/>
      <c r="M90" s="187"/>
      <c r="N90" s="187"/>
      <c r="O90" s="187"/>
      <c r="P90" s="187"/>
      <c r="Q90" s="187"/>
      <c r="R90" s="187"/>
      <c r="S90" s="187"/>
      <c r="T90" s="187"/>
      <c r="U90" s="187"/>
      <c r="V90" s="188"/>
      <c r="X90" s="143"/>
      <c r="Y90" s="137"/>
      <c r="Z90" s="137"/>
      <c r="AA90" s="137"/>
      <c r="AB90" s="137"/>
      <c r="AC90" s="137"/>
      <c r="AD90" s="144"/>
    </row>
    <row r="91" ht="15.75" customHeight="1">
      <c r="A91" s="195"/>
      <c r="B91" s="59"/>
      <c r="C91" s="207"/>
      <c r="D91" s="59"/>
      <c r="E91" s="207"/>
      <c r="F91" s="207"/>
      <c r="G91" s="207"/>
      <c r="H91" s="207"/>
      <c r="I91" s="207"/>
      <c r="J91" s="207"/>
      <c r="K91" s="65"/>
      <c r="L91" s="187"/>
      <c r="M91" s="187"/>
      <c r="N91" s="187"/>
      <c r="O91" s="187"/>
      <c r="P91" s="187"/>
      <c r="Q91" s="187"/>
      <c r="R91" s="187"/>
      <c r="S91" s="187"/>
      <c r="T91" s="187"/>
      <c r="U91" s="187"/>
      <c r="V91" s="188"/>
      <c r="X91" s="143"/>
      <c r="Y91" s="137"/>
      <c r="Z91" s="137"/>
      <c r="AA91" s="137"/>
      <c r="AB91" s="137"/>
      <c r="AC91" s="137"/>
      <c r="AD91" s="144"/>
    </row>
    <row r="92" ht="15.75" customHeight="1">
      <c r="A92" s="195"/>
      <c r="B92" s="59"/>
      <c r="C92" s="207"/>
      <c r="D92" s="59"/>
      <c r="E92" s="207"/>
      <c r="F92" s="207"/>
      <c r="G92" s="207"/>
      <c r="H92" s="207"/>
      <c r="I92" s="207"/>
      <c r="J92" s="207"/>
      <c r="K92" s="65"/>
      <c r="L92" s="187"/>
      <c r="M92" s="187"/>
      <c r="N92" s="187"/>
      <c r="O92" s="187"/>
      <c r="P92" s="187"/>
      <c r="Q92" s="187"/>
      <c r="R92" s="187"/>
      <c r="S92" s="187"/>
      <c r="T92" s="187"/>
      <c r="U92" s="187"/>
      <c r="V92" s="188"/>
      <c r="X92" s="143"/>
      <c r="Y92" s="137"/>
      <c r="Z92" s="137"/>
      <c r="AA92" s="137"/>
      <c r="AB92" s="137"/>
      <c r="AC92" s="137"/>
      <c r="AD92" s="144"/>
    </row>
    <row r="93" ht="15.75" customHeight="1">
      <c r="A93" s="195"/>
      <c r="B93" s="59"/>
      <c r="C93" s="207"/>
      <c r="D93" s="59"/>
      <c r="E93" s="65"/>
      <c r="F93" s="65"/>
      <c r="G93" s="65"/>
      <c r="H93" s="65"/>
      <c r="I93" s="65"/>
      <c r="J93" s="65"/>
      <c r="K93" s="65"/>
      <c r="L93" s="187"/>
      <c r="M93" s="187"/>
      <c r="N93" s="187"/>
      <c r="O93" s="187"/>
      <c r="P93" s="187"/>
      <c r="Q93" s="187"/>
      <c r="R93" s="187"/>
      <c r="S93" s="187"/>
      <c r="T93" s="187"/>
      <c r="U93" s="187"/>
      <c r="V93" s="188"/>
      <c r="X93" s="143"/>
      <c r="Y93" s="137"/>
      <c r="Z93" s="137"/>
      <c r="AA93" s="137"/>
      <c r="AB93" s="137"/>
      <c r="AC93" s="137"/>
      <c r="AD93" s="144"/>
    </row>
    <row r="94" ht="15.75" customHeight="1">
      <c r="A94" s="195"/>
      <c r="B94" s="59"/>
      <c r="C94" s="207"/>
      <c r="D94" s="59"/>
      <c r="E94" s="65"/>
      <c r="F94" s="65"/>
      <c r="G94" s="65"/>
      <c r="H94" s="65"/>
      <c r="I94" s="65"/>
      <c r="J94" s="65"/>
      <c r="K94" s="65"/>
      <c r="L94" s="187"/>
      <c r="M94" s="187"/>
      <c r="N94" s="187"/>
      <c r="O94" s="187"/>
      <c r="P94" s="187"/>
      <c r="Q94" s="187"/>
      <c r="R94" s="187"/>
      <c r="S94" s="187"/>
      <c r="T94" s="187"/>
      <c r="U94" s="187"/>
      <c r="V94" s="188"/>
      <c r="X94" s="143"/>
      <c r="Y94" s="137"/>
      <c r="Z94" s="137"/>
      <c r="AA94" s="137"/>
      <c r="AB94" s="137"/>
      <c r="AC94" s="137"/>
      <c r="AD94" s="144"/>
    </row>
    <row r="95" ht="15.75" customHeight="1">
      <c r="A95" s="195"/>
      <c r="B95" s="59"/>
      <c r="C95" s="65"/>
      <c r="D95" s="59"/>
      <c r="E95" s="65"/>
      <c r="F95" s="65"/>
      <c r="G95" s="65"/>
      <c r="H95" s="65"/>
      <c r="I95" s="65"/>
      <c r="J95" s="65"/>
      <c r="K95" s="65"/>
      <c r="L95" s="187"/>
      <c r="M95" s="187"/>
      <c r="N95" s="187"/>
      <c r="O95" s="187"/>
      <c r="P95" s="187"/>
      <c r="Q95" s="187"/>
      <c r="R95" s="187"/>
      <c r="S95" s="187"/>
      <c r="T95" s="187"/>
      <c r="U95" s="187"/>
      <c r="V95" s="188"/>
      <c r="X95" s="143"/>
      <c r="Y95" s="137"/>
      <c r="Z95" s="137"/>
      <c r="AA95" s="137"/>
      <c r="AB95" s="137"/>
      <c r="AC95" s="137"/>
      <c r="AD95" s="144"/>
    </row>
    <row r="96" ht="15.75" customHeight="1">
      <c r="A96" s="195"/>
      <c r="B96" s="59"/>
      <c r="C96" s="59"/>
      <c r="D96" s="59"/>
      <c r="E96" s="65"/>
      <c r="F96" s="65"/>
      <c r="G96" s="65"/>
      <c r="H96" s="65"/>
      <c r="I96" s="65"/>
      <c r="J96" s="65"/>
      <c r="K96" s="65"/>
      <c r="L96" s="187"/>
      <c r="M96" s="187"/>
      <c r="N96" s="187"/>
      <c r="O96" s="187"/>
      <c r="P96" s="187"/>
      <c r="Q96" s="187"/>
      <c r="R96" s="187"/>
      <c r="S96" s="187"/>
      <c r="T96" s="187"/>
      <c r="U96" s="187"/>
      <c r="V96" s="188"/>
      <c r="X96" s="143"/>
      <c r="Y96" s="137"/>
      <c r="Z96" s="137"/>
      <c r="AA96" s="137"/>
      <c r="AB96" s="137"/>
      <c r="AC96" s="137"/>
      <c r="AD96" s="144"/>
    </row>
    <row r="97" ht="15.75" customHeight="1">
      <c r="B97" s="211"/>
      <c r="D97" s="211"/>
      <c r="E97" s="65"/>
      <c r="F97" s="65"/>
      <c r="G97" s="65"/>
      <c r="H97" s="65"/>
      <c r="I97" s="65"/>
      <c r="J97" s="65"/>
      <c r="K97" s="65"/>
      <c r="L97" s="187"/>
      <c r="M97" s="187"/>
      <c r="N97" s="187"/>
      <c r="O97" s="187"/>
      <c r="P97" s="187"/>
      <c r="Q97" s="187"/>
      <c r="R97" s="187"/>
      <c r="S97" s="187"/>
      <c r="T97" s="187"/>
      <c r="U97" s="187"/>
      <c r="V97" s="188"/>
      <c r="X97" s="143"/>
      <c r="Y97" s="137"/>
      <c r="Z97" s="137"/>
      <c r="AA97" s="137"/>
      <c r="AB97" s="137"/>
      <c r="AC97" s="137"/>
      <c r="AD97" s="144"/>
    </row>
    <row r="98" ht="15.75" customHeight="1">
      <c r="B98" s="211"/>
      <c r="D98" s="211"/>
      <c r="E98" s="65"/>
      <c r="F98" s="65"/>
      <c r="G98" s="65"/>
      <c r="H98" s="65"/>
      <c r="I98" s="65"/>
      <c r="J98" s="65"/>
      <c r="K98" s="65"/>
      <c r="L98" s="187"/>
      <c r="M98" s="187"/>
      <c r="N98" s="187"/>
      <c r="O98" s="187"/>
      <c r="P98" s="187"/>
      <c r="Q98" s="187"/>
      <c r="R98" s="187"/>
      <c r="S98" s="187"/>
      <c r="T98" s="187"/>
      <c r="U98" s="187"/>
      <c r="V98" s="188"/>
      <c r="X98" s="143"/>
      <c r="Y98" s="137"/>
      <c r="Z98" s="137"/>
      <c r="AA98" s="137"/>
      <c r="AB98" s="137"/>
      <c r="AC98" s="137"/>
      <c r="AD98" s="144"/>
    </row>
    <row r="99" ht="1.5" customHeight="1">
      <c r="B99" s="211"/>
      <c r="D99" s="211"/>
      <c r="E99" s="65"/>
      <c r="F99" s="65"/>
      <c r="G99" s="65"/>
      <c r="H99" s="65"/>
      <c r="I99" s="65"/>
      <c r="J99" s="65"/>
      <c r="K99" s="65"/>
      <c r="L99" s="187"/>
      <c r="M99" s="187"/>
      <c r="N99" s="187"/>
      <c r="O99" s="187"/>
      <c r="P99" s="187"/>
      <c r="Q99" s="187"/>
      <c r="R99" s="187"/>
      <c r="S99" s="187"/>
      <c r="T99" s="187"/>
      <c r="U99" s="187"/>
      <c r="V99" s="188"/>
      <c r="X99" s="143"/>
      <c r="Y99" s="137"/>
      <c r="Z99" s="137"/>
      <c r="AA99" s="137"/>
      <c r="AB99" s="137"/>
      <c r="AC99" s="137"/>
      <c r="AD99" s="144"/>
    </row>
    <row r="100" ht="15.75" customHeight="1">
      <c r="B100" s="211"/>
      <c r="D100" s="211"/>
      <c r="E100" s="65"/>
      <c r="F100" s="65"/>
      <c r="G100" s="65"/>
      <c r="H100" s="65"/>
      <c r="I100" s="65"/>
      <c r="J100" s="65"/>
      <c r="K100" s="65"/>
      <c r="L100" s="187"/>
      <c r="M100" s="187"/>
      <c r="N100" s="187"/>
      <c r="O100" s="187"/>
      <c r="P100" s="187"/>
      <c r="Q100" s="187"/>
      <c r="R100" s="187"/>
      <c r="S100" s="187"/>
      <c r="T100" s="187"/>
      <c r="U100" s="187"/>
      <c r="V100" s="188"/>
      <c r="X100" s="143"/>
      <c r="Y100" s="137"/>
      <c r="Z100" s="137"/>
      <c r="AA100" s="137"/>
      <c r="AB100" s="137"/>
      <c r="AC100" s="137"/>
      <c r="AD100" s="144"/>
    </row>
    <row r="101" ht="15.75" customHeight="1">
      <c r="B101" s="211"/>
      <c r="D101" s="211"/>
      <c r="E101" s="65"/>
      <c r="F101" s="65"/>
      <c r="G101" s="65"/>
      <c r="H101" s="65"/>
      <c r="I101" s="65"/>
      <c r="J101" s="65"/>
      <c r="K101" s="65"/>
      <c r="L101" s="187"/>
      <c r="M101" s="187"/>
      <c r="N101" s="187"/>
      <c r="O101" s="187"/>
      <c r="P101" s="187"/>
      <c r="Q101" s="187"/>
      <c r="R101" s="187"/>
      <c r="S101" s="187"/>
      <c r="T101" s="187"/>
      <c r="U101" s="187"/>
      <c r="V101" s="188"/>
      <c r="X101" s="143"/>
      <c r="Y101" s="137"/>
      <c r="Z101" s="137"/>
      <c r="AA101" s="137"/>
      <c r="AB101" s="137"/>
      <c r="AC101" s="137"/>
      <c r="AD101" s="144"/>
    </row>
    <row r="102" ht="15.75" customHeight="1">
      <c r="B102" s="211"/>
      <c r="D102" s="211"/>
      <c r="E102" s="65"/>
      <c r="F102" s="65"/>
      <c r="G102" s="65"/>
      <c r="H102" s="65"/>
      <c r="I102" s="65"/>
      <c r="J102" s="65"/>
      <c r="K102" s="65"/>
      <c r="L102" s="187"/>
      <c r="M102" s="187"/>
      <c r="N102" s="187"/>
      <c r="O102" s="187"/>
      <c r="P102" s="187"/>
      <c r="Q102" s="187"/>
      <c r="R102" s="187"/>
      <c r="S102" s="187"/>
      <c r="T102" s="187"/>
      <c r="U102" s="187"/>
      <c r="V102" s="188"/>
      <c r="X102" s="143"/>
      <c r="Y102" s="137"/>
      <c r="Z102" s="137"/>
      <c r="AA102" s="137"/>
      <c r="AB102" s="137"/>
      <c r="AC102" s="137"/>
      <c r="AD102" s="144"/>
    </row>
    <row r="103" ht="15.75" customHeight="1">
      <c r="B103" s="211"/>
      <c r="D103" s="211"/>
      <c r="E103" s="65"/>
      <c r="F103" s="65"/>
      <c r="G103" s="65"/>
      <c r="H103" s="65"/>
      <c r="I103" s="65"/>
      <c r="J103" s="65"/>
      <c r="K103" s="65"/>
      <c r="L103" s="187"/>
      <c r="M103" s="187"/>
      <c r="N103" s="187"/>
      <c r="O103" s="187"/>
      <c r="P103" s="187"/>
      <c r="Q103" s="187"/>
      <c r="R103" s="187"/>
      <c r="S103" s="187"/>
      <c r="T103" s="187"/>
      <c r="U103" s="187"/>
      <c r="V103" s="188"/>
      <c r="X103" s="143"/>
      <c r="Y103" s="137"/>
      <c r="Z103" s="137"/>
      <c r="AA103" s="137"/>
      <c r="AB103" s="137"/>
      <c r="AC103" s="137"/>
      <c r="AD103" s="144"/>
    </row>
    <row r="104" ht="15.75" customHeight="1">
      <c r="B104" s="211"/>
      <c r="D104" s="211"/>
      <c r="E104" s="65"/>
      <c r="F104" s="65"/>
      <c r="G104" s="65"/>
      <c r="H104" s="65"/>
      <c r="I104" s="65"/>
      <c r="J104" s="65"/>
      <c r="K104" s="65"/>
      <c r="L104" s="187"/>
      <c r="M104" s="187"/>
      <c r="N104" s="187"/>
      <c r="O104" s="187"/>
      <c r="P104" s="187"/>
      <c r="Q104" s="187"/>
      <c r="R104" s="187"/>
      <c r="S104" s="187"/>
      <c r="T104" s="187"/>
      <c r="U104" s="187"/>
      <c r="V104" s="188"/>
      <c r="X104" s="225"/>
      <c r="Y104" s="156"/>
      <c r="Z104" s="156"/>
      <c r="AA104" s="156"/>
      <c r="AB104" s="156"/>
      <c r="AC104" s="156"/>
      <c r="AD104" s="226"/>
    </row>
    <row r="105" ht="15.75" customHeight="1">
      <c r="B105" s="211"/>
      <c r="D105" s="211"/>
      <c r="E105" s="65"/>
      <c r="F105" s="65"/>
      <c r="G105" s="65"/>
      <c r="H105" s="65"/>
      <c r="I105" s="65"/>
      <c r="J105" s="65"/>
      <c r="K105" s="65"/>
      <c r="L105" s="187"/>
      <c r="M105" s="187"/>
      <c r="N105" s="187"/>
      <c r="O105" s="187"/>
      <c r="P105" s="187"/>
      <c r="Q105" s="187"/>
      <c r="R105" s="187"/>
      <c r="S105" s="187"/>
      <c r="T105" s="187"/>
      <c r="U105" s="187"/>
      <c r="V105" s="188"/>
      <c r="X105" s="227" t="s">
        <v>236</v>
      </c>
      <c r="Y105" s="228"/>
      <c r="Z105" s="229"/>
      <c r="AA105" s="230">
        <f t="shared" ref="AA105:AD105" si="33">SUM(AA3:AA104)</f>
        <v>83458</v>
      </c>
      <c r="AB105" s="230">
        <f t="shared" si="33"/>
        <v>8132</v>
      </c>
      <c r="AC105" s="230">
        <f t="shared" si="33"/>
        <v>64639</v>
      </c>
      <c r="AD105" s="230">
        <f t="shared" si="33"/>
        <v>0</v>
      </c>
    </row>
    <row r="106" ht="15.75" customHeight="1">
      <c r="A106" s="65"/>
      <c r="B106" s="59"/>
      <c r="C106" s="217"/>
      <c r="D106" s="59"/>
      <c r="E106" s="65"/>
      <c r="F106" s="65"/>
      <c r="G106" s="65"/>
      <c r="H106" s="65"/>
      <c r="I106" s="65"/>
      <c r="J106" s="65"/>
      <c r="K106" s="65"/>
      <c r="L106" s="187"/>
      <c r="M106" s="187"/>
      <c r="N106" s="187"/>
      <c r="O106" s="187"/>
      <c r="P106" s="187"/>
      <c r="Q106" s="187"/>
      <c r="R106" s="187"/>
      <c r="S106" s="187"/>
      <c r="T106" s="187"/>
      <c r="U106" s="187"/>
      <c r="V106" s="188"/>
    </row>
    <row r="107" ht="15.75" customHeight="1">
      <c r="A107" s="65"/>
      <c r="B107" s="59"/>
      <c r="C107" s="217"/>
      <c r="D107" s="59"/>
      <c r="E107" s="65"/>
      <c r="F107" s="65"/>
      <c r="G107" s="65"/>
      <c r="H107" s="65"/>
      <c r="I107" s="65"/>
      <c r="J107" s="65"/>
      <c r="K107" s="65"/>
      <c r="L107" s="187"/>
      <c r="M107" s="187"/>
      <c r="N107" s="187"/>
      <c r="O107" s="187"/>
      <c r="P107" s="187"/>
      <c r="Q107" s="187"/>
      <c r="R107" s="187"/>
      <c r="S107" s="187"/>
      <c r="T107" s="187"/>
      <c r="U107" s="187"/>
      <c r="V107" s="188"/>
    </row>
    <row r="108" ht="15.75" customHeight="1">
      <c r="A108" s="65"/>
      <c r="B108" s="59"/>
      <c r="C108" s="217"/>
      <c r="D108" s="59"/>
      <c r="E108" s="65"/>
      <c r="F108" s="65"/>
      <c r="G108" s="65"/>
      <c r="H108" s="65"/>
      <c r="I108" s="65"/>
      <c r="J108" s="65"/>
      <c r="K108" s="65"/>
      <c r="L108" s="187"/>
      <c r="M108" s="187"/>
      <c r="N108" s="187"/>
      <c r="O108" s="187"/>
      <c r="P108" s="187"/>
      <c r="Q108" s="187"/>
      <c r="R108" s="187"/>
      <c r="S108" s="187"/>
      <c r="T108" s="187"/>
      <c r="U108" s="187"/>
      <c r="V108" s="188"/>
    </row>
    <row r="109" ht="15.75" customHeight="1">
      <c r="A109" s="65"/>
      <c r="B109" s="59"/>
      <c r="C109" s="218"/>
      <c r="D109" s="59"/>
      <c r="E109" s="65"/>
      <c r="F109" s="65"/>
      <c r="G109" s="65"/>
      <c r="H109" s="65"/>
      <c r="I109" s="65"/>
      <c r="J109" s="65"/>
      <c r="K109" s="65"/>
      <c r="L109" s="187"/>
      <c r="M109" s="187"/>
      <c r="N109" s="187"/>
      <c r="O109" s="187"/>
      <c r="P109" s="187"/>
      <c r="Q109" s="187"/>
      <c r="R109" s="187"/>
      <c r="S109" s="187"/>
      <c r="T109" s="187"/>
      <c r="U109" s="187"/>
      <c r="V109" s="188"/>
    </row>
    <row r="110" ht="15.75" customHeight="1">
      <c r="A110" s="65"/>
      <c r="B110" s="59"/>
      <c r="C110" s="219"/>
      <c r="D110" s="59"/>
      <c r="E110" s="65"/>
      <c r="F110" s="65"/>
      <c r="G110" s="65"/>
      <c r="H110" s="65"/>
      <c r="I110" s="65"/>
      <c r="J110" s="65"/>
      <c r="K110" s="65"/>
      <c r="L110" s="187"/>
      <c r="M110" s="187"/>
      <c r="N110" s="187"/>
      <c r="O110" s="187"/>
      <c r="P110" s="187"/>
      <c r="Q110" s="187"/>
      <c r="R110" s="187"/>
      <c r="S110" s="187"/>
      <c r="T110" s="187"/>
      <c r="U110" s="187"/>
      <c r="V110" s="188"/>
    </row>
    <row r="111" ht="15.75" customHeight="1">
      <c r="A111" s="65"/>
      <c r="B111" s="59"/>
      <c r="C111" s="218"/>
      <c r="D111" s="59"/>
      <c r="E111" s="65"/>
      <c r="F111" s="65"/>
      <c r="G111" s="65"/>
      <c r="H111" s="65"/>
      <c r="I111" s="65"/>
      <c r="J111" s="65"/>
      <c r="K111" s="65"/>
      <c r="L111" s="187"/>
      <c r="M111" s="187"/>
      <c r="N111" s="187"/>
      <c r="O111" s="187"/>
      <c r="P111" s="187"/>
      <c r="Q111" s="187"/>
      <c r="R111" s="187"/>
      <c r="S111" s="187"/>
      <c r="T111" s="187"/>
      <c r="U111" s="187"/>
      <c r="V111" s="188"/>
    </row>
    <row r="112" ht="15.75" customHeight="1">
      <c r="A112" s="65"/>
      <c r="B112" s="59"/>
      <c r="C112" s="220"/>
      <c r="D112" s="59"/>
      <c r="E112" s="65"/>
      <c r="F112" s="65"/>
      <c r="G112" s="65"/>
      <c r="H112" s="65"/>
      <c r="I112" s="65"/>
      <c r="J112" s="65"/>
      <c r="K112" s="65"/>
      <c r="L112" s="187"/>
      <c r="M112" s="187"/>
      <c r="N112" s="187"/>
      <c r="O112" s="187"/>
      <c r="P112" s="187"/>
      <c r="Q112" s="187"/>
      <c r="R112" s="187"/>
      <c r="S112" s="187"/>
      <c r="T112" s="187"/>
      <c r="U112" s="187"/>
      <c r="V112" s="188"/>
    </row>
    <row r="113" ht="15.75" customHeight="1">
      <c r="A113" s="65"/>
      <c r="B113" s="59"/>
      <c r="C113" s="65"/>
      <c r="D113" s="59"/>
      <c r="E113" s="65"/>
      <c r="F113" s="65"/>
      <c r="G113" s="65"/>
      <c r="H113" s="65"/>
      <c r="I113" s="65"/>
      <c r="J113" s="65"/>
      <c r="K113" s="65"/>
      <c r="L113" s="187"/>
      <c r="M113" s="187"/>
      <c r="N113" s="187"/>
      <c r="O113" s="187"/>
      <c r="P113" s="187"/>
      <c r="Q113" s="187"/>
      <c r="R113" s="187"/>
      <c r="S113" s="187"/>
      <c r="T113" s="187"/>
      <c r="U113" s="187"/>
      <c r="V113" s="188"/>
    </row>
    <row r="114" ht="15.75" customHeight="1">
      <c r="A114" s="65"/>
      <c r="B114" s="59"/>
      <c r="C114" s="207"/>
      <c r="D114" s="59"/>
      <c r="E114" s="65"/>
      <c r="F114" s="65"/>
      <c r="G114" s="65"/>
      <c r="H114" s="65"/>
      <c r="I114" s="65"/>
      <c r="J114" s="65"/>
      <c r="K114" s="65"/>
      <c r="L114" s="187"/>
      <c r="M114" s="187"/>
      <c r="N114" s="187"/>
      <c r="O114" s="187"/>
      <c r="P114" s="187"/>
      <c r="Q114" s="187"/>
      <c r="R114" s="187"/>
      <c r="S114" s="187"/>
      <c r="T114" s="187"/>
      <c r="U114" s="187"/>
      <c r="V114" s="188"/>
    </row>
    <row r="115" ht="15.75" customHeight="1">
      <c r="A115" s="65"/>
      <c r="B115" s="59"/>
      <c r="C115" s="207"/>
      <c r="D115" s="59"/>
      <c r="E115" s="65"/>
      <c r="F115" s="65"/>
      <c r="G115" s="65"/>
      <c r="H115" s="65"/>
      <c r="I115" s="65"/>
      <c r="J115" s="65"/>
      <c r="K115" s="65"/>
      <c r="L115" s="187"/>
      <c r="M115" s="187"/>
      <c r="N115" s="187"/>
      <c r="O115" s="187"/>
      <c r="P115" s="187"/>
      <c r="Q115" s="187"/>
      <c r="R115" s="187"/>
      <c r="S115" s="187"/>
      <c r="T115" s="187"/>
      <c r="U115" s="187"/>
      <c r="V115" s="188"/>
    </row>
    <row r="116" ht="15.75" customHeight="1">
      <c r="A116" s="65"/>
      <c r="B116" s="59"/>
      <c r="C116" s="207"/>
      <c r="D116" s="59"/>
      <c r="E116" s="65"/>
      <c r="F116" s="65"/>
      <c r="G116" s="65"/>
      <c r="H116" s="65"/>
      <c r="I116" s="65"/>
      <c r="J116" s="65"/>
      <c r="K116" s="65"/>
      <c r="L116" s="187"/>
      <c r="M116" s="187"/>
      <c r="N116" s="187"/>
      <c r="O116" s="187"/>
      <c r="P116" s="187"/>
      <c r="Q116" s="187"/>
      <c r="R116" s="187"/>
      <c r="S116" s="187"/>
      <c r="T116" s="187"/>
      <c r="U116" s="187"/>
      <c r="V116" s="188"/>
    </row>
    <row r="117" ht="15.75" customHeight="1">
      <c r="A117" s="65"/>
      <c r="B117" s="59"/>
      <c r="C117" s="207"/>
      <c r="D117" s="59"/>
      <c r="E117" s="65"/>
      <c r="F117" s="65"/>
      <c r="G117" s="65"/>
      <c r="H117" s="65"/>
      <c r="I117" s="65"/>
      <c r="J117" s="65"/>
      <c r="K117" s="65"/>
      <c r="L117" s="187"/>
      <c r="M117" s="187"/>
      <c r="N117" s="187"/>
      <c r="O117" s="187"/>
      <c r="P117" s="187"/>
      <c r="Q117" s="187"/>
      <c r="R117" s="187"/>
      <c r="S117" s="187"/>
      <c r="T117" s="187"/>
      <c r="U117" s="187"/>
      <c r="V117" s="188"/>
    </row>
    <row r="118" ht="15.75" customHeight="1">
      <c r="A118" s="65"/>
      <c r="B118" s="59"/>
      <c r="C118" s="207"/>
      <c r="D118" s="59"/>
      <c r="E118" s="65"/>
      <c r="F118" s="65"/>
      <c r="G118" s="65"/>
      <c r="H118" s="65"/>
      <c r="I118" s="65"/>
      <c r="J118" s="65"/>
      <c r="K118" s="65"/>
      <c r="L118" s="187"/>
      <c r="M118" s="187"/>
      <c r="N118" s="187"/>
      <c r="O118" s="187"/>
      <c r="P118" s="187"/>
      <c r="Q118" s="187"/>
      <c r="R118" s="187"/>
      <c r="S118" s="187"/>
      <c r="T118" s="187"/>
      <c r="U118" s="187"/>
      <c r="V118" s="188"/>
    </row>
    <row r="119" ht="15.75" customHeight="1">
      <c r="A119" s="65"/>
      <c r="B119" s="59"/>
      <c r="C119" s="207"/>
      <c r="D119" s="59"/>
      <c r="E119" s="65"/>
      <c r="F119" s="65"/>
      <c r="G119" s="65"/>
      <c r="H119" s="65"/>
      <c r="I119" s="65"/>
      <c r="J119" s="65"/>
      <c r="K119" s="65"/>
      <c r="L119" s="187"/>
      <c r="M119" s="187"/>
      <c r="N119" s="187"/>
      <c r="O119" s="187"/>
      <c r="P119" s="187"/>
      <c r="Q119" s="187"/>
      <c r="R119" s="187"/>
      <c r="S119" s="187"/>
      <c r="T119" s="187"/>
      <c r="U119" s="187"/>
      <c r="V119" s="188"/>
    </row>
    <row r="120" ht="15.75" customHeight="1">
      <c r="A120" s="65"/>
      <c r="B120" s="59"/>
      <c r="C120" s="207"/>
      <c r="D120" s="59"/>
      <c r="E120" s="65"/>
      <c r="F120" s="65"/>
      <c r="G120" s="65"/>
      <c r="H120" s="65"/>
      <c r="I120" s="65"/>
      <c r="J120" s="65"/>
      <c r="K120" s="65"/>
      <c r="L120" s="187"/>
      <c r="M120" s="187"/>
      <c r="N120" s="187"/>
      <c r="O120" s="187"/>
      <c r="P120" s="187"/>
      <c r="Q120" s="187"/>
      <c r="R120" s="187"/>
      <c r="S120" s="187"/>
      <c r="T120" s="187"/>
      <c r="U120" s="187"/>
      <c r="V120" s="188"/>
    </row>
    <row r="121" ht="15.75" customHeight="1">
      <c r="A121" s="65"/>
      <c r="B121" s="59"/>
      <c r="C121" s="207"/>
      <c r="D121" s="59"/>
      <c r="E121" s="65"/>
      <c r="F121" s="65"/>
      <c r="G121" s="65"/>
      <c r="H121" s="65"/>
      <c r="I121" s="65"/>
      <c r="J121" s="65"/>
      <c r="K121" s="65"/>
      <c r="L121" s="187"/>
      <c r="M121" s="187"/>
      <c r="N121" s="187"/>
      <c r="O121" s="187"/>
      <c r="P121" s="187"/>
      <c r="Q121" s="187"/>
      <c r="R121" s="187"/>
      <c r="S121" s="187"/>
      <c r="T121" s="187"/>
      <c r="U121" s="187"/>
      <c r="V121" s="188"/>
    </row>
    <row r="122" ht="15.75" customHeight="1">
      <c r="A122" s="65"/>
      <c r="B122" s="59"/>
      <c r="C122" s="207"/>
      <c r="D122" s="59"/>
      <c r="E122" s="65"/>
      <c r="F122" s="65"/>
      <c r="G122" s="65"/>
      <c r="H122" s="65"/>
      <c r="I122" s="65"/>
      <c r="J122" s="65"/>
      <c r="K122" s="65"/>
      <c r="L122" s="187"/>
      <c r="M122" s="187"/>
      <c r="N122" s="187"/>
      <c r="O122" s="187"/>
      <c r="P122" s="187"/>
      <c r="Q122" s="187"/>
      <c r="R122" s="187"/>
      <c r="S122" s="187"/>
      <c r="T122" s="187"/>
      <c r="U122" s="187"/>
      <c r="V122" s="188"/>
    </row>
    <row r="123" ht="15.75" customHeight="1">
      <c r="A123" s="65"/>
      <c r="B123" s="59"/>
      <c r="C123" s="207"/>
      <c r="D123" s="59"/>
      <c r="E123" s="65"/>
      <c r="F123" s="65"/>
      <c r="G123" s="65"/>
      <c r="H123" s="65"/>
      <c r="I123" s="65"/>
      <c r="J123" s="65"/>
      <c r="K123" s="65"/>
      <c r="L123" s="187"/>
      <c r="M123" s="187"/>
      <c r="N123" s="187"/>
      <c r="O123" s="187"/>
      <c r="P123" s="187"/>
      <c r="Q123" s="187"/>
      <c r="R123" s="187"/>
      <c r="S123" s="187"/>
      <c r="T123" s="187"/>
      <c r="U123" s="187"/>
      <c r="V123" s="188"/>
    </row>
    <row r="124" ht="15.75" customHeight="1">
      <c r="A124" s="65"/>
      <c r="B124" s="59"/>
      <c r="C124" s="207"/>
      <c r="D124" s="59"/>
      <c r="E124" s="65"/>
      <c r="F124" s="65"/>
      <c r="G124" s="65"/>
      <c r="H124" s="65"/>
      <c r="I124" s="65"/>
      <c r="J124" s="65"/>
      <c r="K124" s="65"/>
      <c r="L124" s="187"/>
      <c r="M124" s="187"/>
      <c r="N124" s="187"/>
      <c r="O124" s="187"/>
      <c r="P124" s="187"/>
      <c r="Q124" s="187"/>
      <c r="R124" s="187"/>
      <c r="S124" s="187"/>
      <c r="T124" s="187"/>
      <c r="U124" s="187"/>
      <c r="V124" s="188"/>
    </row>
    <row r="125" ht="15.75" customHeight="1">
      <c r="A125" s="65"/>
      <c r="B125" s="59"/>
      <c r="C125" s="207"/>
      <c r="D125" s="59"/>
      <c r="E125" s="65"/>
      <c r="F125" s="65"/>
      <c r="G125" s="65"/>
      <c r="H125" s="65"/>
      <c r="I125" s="65"/>
      <c r="J125" s="65"/>
      <c r="K125" s="65"/>
      <c r="L125" s="187"/>
      <c r="M125" s="187"/>
      <c r="N125" s="187"/>
      <c r="O125" s="187"/>
      <c r="P125" s="187"/>
      <c r="Q125" s="187"/>
      <c r="R125" s="187"/>
      <c r="S125" s="187"/>
      <c r="T125" s="187"/>
      <c r="U125" s="187"/>
      <c r="V125" s="188"/>
    </row>
    <row r="126" ht="15.75" customHeight="1">
      <c r="A126" s="65"/>
      <c r="B126" s="59"/>
      <c r="C126" s="207"/>
      <c r="D126" s="59"/>
      <c r="E126" s="65"/>
      <c r="F126" s="65"/>
      <c r="G126" s="65"/>
      <c r="H126" s="65"/>
      <c r="I126" s="65"/>
      <c r="J126" s="65"/>
      <c r="K126" s="65"/>
      <c r="L126" s="187"/>
      <c r="M126" s="187"/>
      <c r="N126" s="187"/>
      <c r="O126" s="187"/>
      <c r="P126" s="187"/>
      <c r="Q126" s="187"/>
      <c r="R126" s="187"/>
      <c r="S126" s="187"/>
      <c r="T126" s="187"/>
      <c r="U126" s="187"/>
      <c r="V126" s="188"/>
    </row>
    <row r="127" ht="15.75" customHeight="1">
      <c r="A127" s="65"/>
      <c r="B127" s="59"/>
      <c r="C127" s="207"/>
      <c r="D127" s="59"/>
      <c r="E127" s="65"/>
      <c r="F127" s="65"/>
      <c r="G127" s="65"/>
      <c r="H127" s="65"/>
      <c r="I127" s="65"/>
      <c r="J127" s="65"/>
      <c r="K127" s="65"/>
      <c r="L127" s="187"/>
      <c r="M127" s="187"/>
      <c r="N127" s="187"/>
      <c r="O127" s="187"/>
      <c r="P127" s="187"/>
      <c r="Q127" s="187"/>
      <c r="R127" s="187"/>
      <c r="S127" s="187"/>
      <c r="T127" s="187"/>
      <c r="U127" s="187"/>
      <c r="V127" s="188"/>
    </row>
    <row r="128" ht="15.75" customHeight="1">
      <c r="A128" s="65"/>
      <c r="B128" s="59"/>
      <c r="C128" s="207"/>
      <c r="D128" s="59"/>
      <c r="E128" s="65"/>
      <c r="F128" s="65"/>
      <c r="G128" s="65"/>
      <c r="H128" s="65"/>
      <c r="I128" s="65"/>
      <c r="J128" s="65"/>
      <c r="K128" s="65"/>
      <c r="L128" s="187"/>
      <c r="M128" s="187"/>
      <c r="N128" s="187"/>
      <c r="O128" s="187"/>
      <c r="P128" s="187"/>
      <c r="Q128" s="187"/>
      <c r="R128" s="187"/>
      <c r="S128" s="187"/>
      <c r="T128" s="187"/>
      <c r="U128" s="187"/>
      <c r="V128" s="188"/>
    </row>
    <row r="129" ht="15.75" customHeight="1">
      <c r="A129" s="65"/>
      <c r="B129" s="59"/>
      <c r="C129" s="207"/>
      <c r="D129" s="59"/>
      <c r="E129" s="65"/>
      <c r="F129" s="65"/>
      <c r="G129" s="65"/>
      <c r="H129" s="65"/>
      <c r="I129" s="65"/>
      <c r="J129" s="65"/>
      <c r="K129" s="65"/>
      <c r="L129" s="187"/>
      <c r="M129" s="187"/>
      <c r="N129" s="187"/>
      <c r="O129" s="187"/>
      <c r="P129" s="187"/>
      <c r="Q129" s="187"/>
      <c r="R129" s="187"/>
      <c r="S129" s="187"/>
      <c r="T129" s="187"/>
      <c r="U129" s="187"/>
      <c r="V129" s="188"/>
    </row>
    <row r="130" ht="15.75" customHeight="1">
      <c r="A130" s="65"/>
      <c r="B130" s="59"/>
      <c r="C130" s="207"/>
      <c r="D130" s="59"/>
      <c r="E130" s="65"/>
      <c r="F130" s="65"/>
      <c r="G130" s="65"/>
      <c r="H130" s="65"/>
      <c r="I130" s="65"/>
      <c r="J130" s="65"/>
      <c r="K130" s="65"/>
      <c r="L130" s="187"/>
      <c r="M130" s="187"/>
      <c r="N130" s="187"/>
      <c r="O130" s="187"/>
      <c r="P130" s="187"/>
      <c r="Q130" s="187"/>
      <c r="R130" s="187"/>
      <c r="S130" s="187"/>
      <c r="T130" s="187"/>
      <c r="U130" s="187"/>
      <c r="V130" s="188"/>
    </row>
    <row r="131" ht="15.75" customHeight="1">
      <c r="A131" s="65"/>
      <c r="B131" s="59"/>
      <c r="C131" s="207"/>
      <c r="D131" s="59"/>
      <c r="E131" s="65"/>
      <c r="F131" s="65"/>
      <c r="G131" s="65"/>
      <c r="H131" s="65"/>
      <c r="I131" s="65"/>
      <c r="J131" s="65"/>
      <c r="K131" s="65"/>
      <c r="L131" s="187"/>
      <c r="M131" s="187"/>
      <c r="N131" s="187"/>
      <c r="O131" s="187"/>
      <c r="P131" s="187"/>
      <c r="Q131" s="187"/>
      <c r="R131" s="187"/>
      <c r="S131" s="187"/>
      <c r="T131" s="187"/>
      <c r="U131" s="187"/>
      <c r="V131" s="188"/>
    </row>
    <row r="132" ht="15.75" customHeight="1">
      <c r="A132" s="65"/>
      <c r="B132" s="59"/>
      <c r="C132" s="207"/>
      <c r="D132" s="59"/>
      <c r="E132" s="65"/>
      <c r="F132" s="65"/>
      <c r="G132" s="65"/>
      <c r="H132" s="65"/>
      <c r="I132" s="65"/>
      <c r="J132" s="65"/>
      <c r="K132" s="65"/>
      <c r="L132" s="187"/>
      <c r="M132" s="187"/>
      <c r="N132" s="187"/>
      <c r="O132" s="187"/>
      <c r="P132" s="187"/>
      <c r="Q132" s="187"/>
      <c r="R132" s="187"/>
      <c r="S132" s="187"/>
      <c r="T132" s="187"/>
      <c r="U132" s="187"/>
      <c r="V132" s="188"/>
    </row>
    <row r="133" ht="15.75" customHeight="1">
      <c r="A133" s="65"/>
      <c r="B133" s="59"/>
      <c r="C133" s="207"/>
      <c r="D133" s="59"/>
      <c r="E133" s="65"/>
      <c r="F133" s="65"/>
      <c r="G133" s="65"/>
      <c r="H133" s="65"/>
      <c r="I133" s="65"/>
      <c r="J133" s="65"/>
      <c r="K133" s="65"/>
      <c r="L133" s="187"/>
      <c r="M133" s="187"/>
      <c r="N133" s="187"/>
      <c r="O133" s="187"/>
      <c r="P133" s="187"/>
      <c r="Q133" s="187"/>
      <c r="R133" s="187"/>
      <c r="S133" s="187"/>
      <c r="T133" s="187"/>
      <c r="U133" s="187"/>
      <c r="V133" s="188"/>
    </row>
    <row r="134" ht="15.75" customHeight="1">
      <c r="A134" s="65"/>
      <c r="B134" s="59"/>
      <c r="C134" s="207"/>
      <c r="D134" s="59"/>
      <c r="E134" s="65"/>
      <c r="F134" s="65"/>
      <c r="G134" s="65"/>
      <c r="H134" s="65"/>
      <c r="I134" s="65"/>
      <c r="J134" s="65"/>
      <c r="K134" s="65"/>
      <c r="L134" s="187"/>
      <c r="M134" s="187"/>
      <c r="N134" s="187"/>
      <c r="O134" s="187"/>
      <c r="P134" s="187"/>
      <c r="Q134" s="187"/>
      <c r="R134" s="187"/>
      <c r="S134" s="187"/>
      <c r="T134" s="187"/>
      <c r="U134" s="187"/>
      <c r="V134" s="188"/>
    </row>
    <row r="135" ht="15.75" customHeight="1">
      <c r="A135" s="65"/>
      <c r="B135" s="59"/>
      <c r="C135" s="207"/>
      <c r="D135" s="59"/>
      <c r="E135" s="65"/>
      <c r="F135" s="65"/>
      <c r="G135" s="65"/>
      <c r="H135" s="65"/>
      <c r="I135" s="65"/>
      <c r="J135" s="65"/>
      <c r="K135" s="65"/>
      <c r="L135" s="187"/>
      <c r="M135" s="187"/>
      <c r="N135" s="187"/>
      <c r="O135" s="187"/>
      <c r="P135" s="187"/>
      <c r="Q135" s="187"/>
      <c r="R135" s="187"/>
      <c r="S135" s="187"/>
      <c r="T135" s="187"/>
      <c r="U135" s="187"/>
      <c r="V135" s="188"/>
    </row>
    <row r="136" ht="15.75" customHeight="1">
      <c r="A136" s="65"/>
      <c r="B136" s="59"/>
      <c r="C136" s="207"/>
      <c r="D136" s="59"/>
      <c r="E136" s="65"/>
      <c r="F136" s="65"/>
      <c r="G136" s="65"/>
      <c r="H136" s="65"/>
      <c r="I136" s="65"/>
      <c r="J136" s="65"/>
      <c r="K136" s="65"/>
      <c r="L136" s="187"/>
      <c r="M136" s="187"/>
      <c r="N136" s="187"/>
      <c r="O136" s="187"/>
      <c r="P136" s="187"/>
      <c r="Q136" s="187"/>
      <c r="R136" s="187"/>
      <c r="S136" s="187"/>
      <c r="T136" s="187"/>
      <c r="U136" s="187"/>
      <c r="V136" s="188"/>
    </row>
    <row r="137" ht="15.75" customHeight="1">
      <c r="A137" s="65"/>
      <c r="B137" s="59"/>
      <c r="C137" s="207"/>
      <c r="D137" s="59"/>
      <c r="E137" s="65"/>
      <c r="F137" s="65"/>
      <c r="G137" s="65"/>
      <c r="H137" s="65"/>
      <c r="I137" s="65"/>
      <c r="J137" s="65"/>
      <c r="K137" s="65"/>
      <c r="L137" s="187"/>
      <c r="M137" s="187"/>
      <c r="N137" s="187"/>
      <c r="O137" s="187"/>
      <c r="P137" s="187"/>
      <c r="Q137" s="187"/>
      <c r="R137" s="187"/>
      <c r="S137" s="187"/>
      <c r="T137" s="187"/>
      <c r="U137" s="187"/>
      <c r="V137" s="188"/>
    </row>
    <row r="138" ht="15.75" customHeight="1">
      <c r="A138" s="65"/>
      <c r="B138" s="59"/>
      <c r="C138" s="207"/>
      <c r="D138" s="59"/>
      <c r="E138" s="65"/>
      <c r="F138" s="65"/>
      <c r="G138" s="65"/>
      <c r="H138" s="65"/>
      <c r="I138" s="65"/>
      <c r="J138" s="65"/>
      <c r="K138" s="65"/>
      <c r="L138" s="187"/>
      <c r="M138" s="187"/>
      <c r="N138" s="187"/>
      <c r="O138" s="187"/>
      <c r="P138" s="187"/>
      <c r="Q138" s="187"/>
      <c r="R138" s="187"/>
      <c r="S138" s="187"/>
      <c r="T138" s="187"/>
      <c r="U138" s="187"/>
      <c r="V138" s="188"/>
    </row>
    <row r="139" ht="15.75" customHeight="1">
      <c r="A139" s="65"/>
      <c r="B139" s="59"/>
      <c r="C139" s="207"/>
      <c r="D139" s="59"/>
      <c r="E139" s="65"/>
      <c r="F139" s="65"/>
      <c r="G139" s="65"/>
      <c r="H139" s="65"/>
      <c r="I139" s="65"/>
      <c r="J139" s="65"/>
      <c r="K139" s="65"/>
      <c r="L139" s="187"/>
      <c r="M139" s="187"/>
      <c r="N139" s="187"/>
      <c r="O139" s="187"/>
      <c r="P139" s="187"/>
      <c r="Q139" s="187"/>
      <c r="R139" s="187"/>
      <c r="S139" s="187"/>
      <c r="T139" s="187"/>
      <c r="U139" s="187"/>
      <c r="V139" s="188"/>
    </row>
    <row r="140" ht="15.75" customHeight="1">
      <c r="A140" s="65"/>
      <c r="B140" s="59"/>
      <c r="C140" s="207"/>
      <c r="D140" s="59"/>
      <c r="E140" s="65"/>
      <c r="F140" s="65"/>
      <c r="G140" s="65"/>
      <c r="H140" s="65"/>
      <c r="I140" s="65"/>
      <c r="J140" s="65"/>
      <c r="K140" s="65"/>
      <c r="L140" s="187"/>
      <c r="M140" s="187"/>
      <c r="N140" s="187"/>
      <c r="O140" s="187"/>
      <c r="P140" s="187"/>
      <c r="Q140" s="187"/>
      <c r="R140" s="187"/>
      <c r="S140" s="187"/>
      <c r="T140" s="187"/>
      <c r="U140" s="187"/>
      <c r="V140" s="188"/>
    </row>
    <row r="141" ht="15.75" customHeight="1">
      <c r="A141" s="65"/>
      <c r="B141" s="59"/>
      <c r="C141" s="207"/>
      <c r="D141" s="59"/>
      <c r="E141" s="65"/>
      <c r="F141" s="65"/>
      <c r="G141" s="65"/>
      <c r="H141" s="65"/>
      <c r="I141" s="65"/>
      <c r="J141" s="65"/>
      <c r="K141" s="65"/>
      <c r="L141" s="187"/>
      <c r="M141" s="187"/>
      <c r="N141" s="187"/>
      <c r="O141" s="187"/>
      <c r="P141" s="187"/>
      <c r="Q141" s="187"/>
      <c r="R141" s="187"/>
      <c r="S141" s="187"/>
      <c r="T141" s="187"/>
      <c r="U141" s="187"/>
      <c r="V141" s="188"/>
    </row>
    <row r="142" ht="15.75" customHeight="1">
      <c r="A142" s="65"/>
      <c r="B142" s="59"/>
      <c r="C142" s="207"/>
      <c r="D142" s="59"/>
      <c r="E142" s="65"/>
      <c r="F142" s="65"/>
      <c r="G142" s="65"/>
      <c r="H142" s="65"/>
      <c r="I142" s="65"/>
      <c r="J142" s="65"/>
      <c r="K142" s="65"/>
      <c r="L142" s="187"/>
      <c r="M142" s="187"/>
      <c r="N142" s="187"/>
      <c r="O142" s="187"/>
      <c r="P142" s="187"/>
      <c r="Q142" s="187"/>
      <c r="R142" s="187"/>
      <c r="S142" s="187"/>
      <c r="T142" s="187"/>
      <c r="U142" s="187"/>
      <c r="V142" s="188"/>
    </row>
    <row r="143" ht="15.75" customHeight="1">
      <c r="A143" s="65"/>
      <c r="B143" s="59"/>
      <c r="C143" s="207"/>
      <c r="D143" s="59"/>
      <c r="E143" s="65"/>
      <c r="F143" s="65"/>
      <c r="G143" s="65"/>
      <c r="H143" s="65"/>
      <c r="I143" s="65"/>
      <c r="J143" s="65"/>
      <c r="K143" s="65"/>
      <c r="L143" s="187"/>
      <c r="M143" s="187"/>
      <c r="N143" s="187"/>
      <c r="O143" s="187"/>
      <c r="P143" s="187"/>
      <c r="Q143" s="187"/>
      <c r="R143" s="187"/>
      <c r="S143" s="187"/>
      <c r="T143" s="187"/>
      <c r="U143" s="187"/>
      <c r="V143" s="188"/>
    </row>
    <row r="144" ht="15.75" customHeight="1">
      <c r="A144" s="65"/>
      <c r="B144" s="59"/>
      <c r="C144" s="207"/>
      <c r="D144" s="59"/>
      <c r="E144" s="65"/>
      <c r="F144" s="65"/>
      <c r="G144" s="65"/>
      <c r="H144" s="65"/>
      <c r="I144" s="65"/>
      <c r="J144" s="65"/>
      <c r="K144" s="65"/>
      <c r="L144" s="187"/>
      <c r="M144" s="187"/>
      <c r="N144" s="187"/>
      <c r="O144" s="187"/>
      <c r="P144" s="187"/>
      <c r="Q144" s="187"/>
      <c r="R144" s="187"/>
      <c r="S144" s="187"/>
      <c r="T144" s="187"/>
      <c r="U144" s="187"/>
      <c r="V144" s="188"/>
    </row>
    <row r="145" ht="15.75" customHeight="1">
      <c r="A145" s="65"/>
      <c r="B145" s="59"/>
      <c r="C145" s="65"/>
      <c r="D145" s="59"/>
      <c r="E145" s="65"/>
      <c r="F145" s="65"/>
      <c r="G145" s="65"/>
      <c r="H145" s="65"/>
      <c r="I145" s="65"/>
      <c r="J145" s="65"/>
      <c r="K145" s="65"/>
      <c r="L145" s="187"/>
      <c r="M145" s="187"/>
      <c r="N145" s="187"/>
      <c r="O145" s="187"/>
      <c r="P145" s="187"/>
      <c r="Q145" s="187"/>
      <c r="R145" s="187"/>
      <c r="S145" s="187"/>
      <c r="T145" s="187"/>
      <c r="U145" s="187"/>
      <c r="V145" s="188"/>
    </row>
    <row r="146" ht="15.75" customHeight="1">
      <c r="A146" s="65"/>
      <c r="B146" s="59"/>
      <c r="C146" s="217"/>
      <c r="D146" s="59"/>
      <c r="E146" s="65"/>
      <c r="F146" s="65"/>
      <c r="G146" s="65"/>
      <c r="H146" s="65"/>
      <c r="I146" s="65"/>
      <c r="J146" s="65"/>
      <c r="K146" s="65"/>
      <c r="L146" s="187"/>
      <c r="M146" s="187"/>
      <c r="N146" s="187"/>
      <c r="O146" s="187"/>
      <c r="P146" s="187"/>
      <c r="Q146" s="187"/>
      <c r="R146" s="187"/>
      <c r="S146" s="187"/>
      <c r="T146" s="187"/>
      <c r="U146" s="187"/>
      <c r="V146" s="188"/>
    </row>
    <row r="147" ht="15.75" customHeight="1">
      <c r="A147" s="65"/>
      <c r="B147" s="59"/>
      <c r="C147" s="217"/>
      <c r="D147" s="59"/>
      <c r="E147" s="65"/>
      <c r="F147" s="65"/>
      <c r="G147" s="65"/>
      <c r="H147" s="65"/>
      <c r="I147" s="65"/>
      <c r="J147" s="65"/>
      <c r="K147" s="65"/>
      <c r="L147" s="187"/>
      <c r="M147" s="187"/>
      <c r="N147" s="187"/>
      <c r="O147" s="187"/>
      <c r="P147" s="187"/>
      <c r="Q147" s="187"/>
      <c r="R147" s="187"/>
      <c r="S147" s="187"/>
      <c r="T147" s="187"/>
      <c r="U147" s="187"/>
      <c r="V147" s="188"/>
    </row>
    <row r="148" ht="15.75" customHeight="1">
      <c r="A148" s="65"/>
      <c r="B148" s="59"/>
      <c r="C148" s="217"/>
      <c r="D148" s="59"/>
      <c r="E148" s="65"/>
      <c r="F148" s="65"/>
      <c r="G148" s="65"/>
      <c r="H148" s="65"/>
      <c r="I148" s="65"/>
      <c r="J148" s="65"/>
      <c r="K148" s="65"/>
      <c r="L148" s="187"/>
      <c r="M148" s="187"/>
      <c r="N148" s="187"/>
      <c r="O148" s="187"/>
      <c r="P148" s="187"/>
      <c r="Q148" s="187"/>
      <c r="R148" s="187"/>
      <c r="S148" s="187"/>
      <c r="T148" s="187"/>
      <c r="U148" s="187"/>
      <c r="V148" s="188"/>
    </row>
    <row r="149" ht="15.75" customHeight="1">
      <c r="A149" s="65"/>
      <c r="B149" s="59"/>
      <c r="C149" s="217"/>
      <c r="D149" s="59"/>
      <c r="E149" s="65"/>
      <c r="F149" s="65"/>
      <c r="G149" s="65"/>
      <c r="H149" s="65"/>
      <c r="I149" s="65"/>
      <c r="J149" s="65"/>
      <c r="K149" s="65"/>
      <c r="L149" s="187"/>
      <c r="M149" s="187"/>
      <c r="N149" s="187"/>
      <c r="O149" s="187"/>
      <c r="P149" s="187"/>
      <c r="Q149" s="187"/>
      <c r="R149" s="187"/>
      <c r="S149" s="187"/>
      <c r="T149" s="187"/>
      <c r="U149" s="187"/>
      <c r="V149" s="188"/>
    </row>
    <row r="150" ht="15.75" customHeight="1">
      <c r="A150" s="65"/>
      <c r="B150" s="59"/>
      <c r="C150" s="217"/>
      <c r="D150" s="59"/>
      <c r="E150" s="65"/>
      <c r="F150" s="65"/>
      <c r="G150" s="65"/>
      <c r="H150" s="65"/>
      <c r="I150" s="65"/>
      <c r="J150" s="65"/>
      <c r="K150" s="65"/>
      <c r="L150" s="187"/>
      <c r="M150" s="187"/>
      <c r="N150" s="187"/>
      <c r="O150" s="187"/>
      <c r="P150" s="187"/>
      <c r="Q150" s="187"/>
      <c r="R150" s="187"/>
      <c r="S150" s="187"/>
      <c r="T150" s="187"/>
      <c r="U150" s="187"/>
      <c r="V150" s="188"/>
    </row>
    <row r="151" ht="15.75" customHeight="1">
      <c r="A151" s="65"/>
      <c r="B151" s="59"/>
      <c r="C151" s="218"/>
      <c r="D151" s="59"/>
      <c r="E151" s="65"/>
      <c r="F151" s="65"/>
      <c r="G151" s="65"/>
      <c r="H151" s="65"/>
      <c r="I151" s="65"/>
      <c r="J151" s="65"/>
      <c r="K151" s="65"/>
      <c r="L151" s="187"/>
      <c r="M151" s="187"/>
      <c r="N151" s="187"/>
      <c r="O151" s="187"/>
      <c r="P151" s="187"/>
      <c r="Q151" s="187"/>
      <c r="R151" s="187"/>
      <c r="S151" s="187"/>
      <c r="T151" s="187"/>
      <c r="U151" s="187"/>
      <c r="V151" s="188"/>
    </row>
    <row r="152" ht="15.75" customHeight="1">
      <c r="A152" s="65"/>
      <c r="B152" s="59"/>
      <c r="C152" s="219"/>
      <c r="D152" s="59"/>
      <c r="E152" s="65"/>
      <c r="F152" s="65"/>
      <c r="G152" s="65"/>
      <c r="H152" s="65"/>
      <c r="I152" s="65"/>
      <c r="J152" s="65"/>
      <c r="K152" s="65"/>
      <c r="L152" s="187"/>
      <c r="M152" s="187"/>
      <c r="N152" s="187"/>
      <c r="O152" s="187"/>
      <c r="P152" s="187"/>
      <c r="Q152" s="187"/>
      <c r="R152" s="187"/>
      <c r="S152" s="187"/>
      <c r="T152" s="187"/>
      <c r="U152" s="187"/>
      <c r="V152" s="188"/>
    </row>
    <row r="153" ht="15.75" customHeight="1">
      <c r="A153" s="65"/>
      <c r="B153" s="59"/>
      <c r="C153" s="218"/>
      <c r="D153" s="59"/>
      <c r="E153" s="65"/>
      <c r="F153" s="65"/>
      <c r="G153" s="65"/>
      <c r="H153" s="65"/>
      <c r="I153" s="65"/>
      <c r="J153" s="65"/>
      <c r="K153" s="65"/>
      <c r="L153" s="187"/>
      <c r="M153" s="187"/>
      <c r="N153" s="187"/>
      <c r="O153" s="187"/>
      <c r="P153" s="187"/>
      <c r="Q153" s="187"/>
      <c r="R153" s="187"/>
      <c r="S153" s="187"/>
      <c r="T153" s="187"/>
      <c r="U153" s="187"/>
      <c r="V153" s="188"/>
    </row>
    <row r="154" ht="15.75" customHeight="1">
      <c r="A154" s="65"/>
      <c r="B154" s="59"/>
      <c r="C154" s="220"/>
      <c r="D154" s="59"/>
      <c r="E154" s="65"/>
      <c r="F154" s="65"/>
      <c r="G154" s="65"/>
      <c r="H154" s="65"/>
      <c r="I154" s="65"/>
      <c r="J154" s="65"/>
      <c r="K154" s="65"/>
      <c r="L154" s="187"/>
      <c r="M154" s="187"/>
      <c r="N154" s="187"/>
      <c r="O154" s="187"/>
      <c r="P154" s="187"/>
      <c r="Q154" s="187"/>
      <c r="R154" s="187"/>
      <c r="S154" s="187"/>
      <c r="T154" s="187"/>
      <c r="U154" s="187"/>
      <c r="V154" s="188"/>
    </row>
    <row r="155" ht="15.75" customHeight="1">
      <c r="A155" s="65"/>
      <c r="B155" s="59"/>
      <c r="C155" s="65"/>
      <c r="D155" s="59"/>
      <c r="E155" s="65"/>
      <c r="F155" s="65"/>
      <c r="G155" s="65"/>
      <c r="H155" s="65"/>
      <c r="I155" s="65"/>
      <c r="J155" s="65"/>
      <c r="K155" s="65"/>
      <c r="L155" s="187"/>
      <c r="M155" s="187"/>
      <c r="N155" s="187"/>
      <c r="O155" s="187"/>
      <c r="P155" s="187"/>
      <c r="Q155" s="187"/>
      <c r="R155" s="187"/>
      <c r="S155" s="187"/>
      <c r="T155" s="187"/>
      <c r="U155" s="187"/>
      <c r="V155" s="188"/>
    </row>
    <row r="156" ht="15.75" customHeight="1">
      <c r="A156" s="65"/>
      <c r="B156" s="59"/>
      <c r="C156" s="207"/>
      <c r="D156" s="59"/>
      <c r="E156" s="65"/>
      <c r="F156" s="65"/>
      <c r="G156" s="65"/>
      <c r="H156" s="65"/>
      <c r="I156" s="65"/>
      <c r="J156" s="65"/>
      <c r="K156" s="65"/>
      <c r="L156" s="187"/>
      <c r="M156" s="187"/>
      <c r="N156" s="187"/>
      <c r="O156" s="187"/>
      <c r="P156" s="187"/>
      <c r="Q156" s="187"/>
      <c r="R156" s="187"/>
      <c r="S156" s="187"/>
      <c r="T156" s="187"/>
      <c r="U156" s="187"/>
      <c r="V156" s="188"/>
    </row>
    <row r="157" ht="15.75" customHeight="1">
      <c r="A157" s="65"/>
      <c r="B157" s="59"/>
      <c r="C157" s="207"/>
      <c r="D157" s="59"/>
      <c r="E157" s="65"/>
      <c r="F157" s="65"/>
      <c r="G157" s="65"/>
      <c r="H157" s="65"/>
      <c r="I157" s="65"/>
      <c r="J157" s="65"/>
      <c r="K157" s="65"/>
      <c r="L157" s="187"/>
      <c r="M157" s="187"/>
      <c r="N157" s="187"/>
      <c r="O157" s="187"/>
      <c r="P157" s="187"/>
      <c r="Q157" s="187"/>
      <c r="R157" s="187"/>
      <c r="S157" s="187"/>
      <c r="T157" s="187"/>
      <c r="U157" s="187"/>
      <c r="V157" s="188"/>
    </row>
    <row r="158" ht="15.75" customHeight="1">
      <c r="A158" s="65"/>
      <c r="B158" s="59"/>
      <c r="C158" s="207"/>
      <c r="D158" s="59"/>
      <c r="E158" s="65"/>
      <c r="F158" s="65"/>
      <c r="G158" s="65"/>
      <c r="H158" s="65"/>
      <c r="I158" s="65"/>
      <c r="J158" s="65"/>
      <c r="K158" s="65"/>
      <c r="L158" s="187"/>
      <c r="M158" s="187"/>
      <c r="N158" s="187"/>
      <c r="O158" s="187"/>
      <c r="P158" s="187"/>
      <c r="Q158" s="187"/>
      <c r="R158" s="187"/>
      <c r="S158" s="187"/>
      <c r="T158" s="187"/>
      <c r="U158" s="187"/>
      <c r="V158" s="188"/>
    </row>
    <row r="159" ht="15.75" customHeight="1">
      <c r="A159" s="65"/>
      <c r="B159" s="59"/>
      <c r="C159" s="207"/>
      <c r="D159" s="59"/>
      <c r="E159" s="65"/>
      <c r="F159" s="65"/>
      <c r="G159" s="65"/>
      <c r="H159" s="65"/>
      <c r="I159" s="65"/>
      <c r="J159" s="65"/>
      <c r="K159" s="65"/>
      <c r="L159" s="187"/>
      <c r="M159" s="187"/>
      <c r="N159" s="187"/>
      <c r="O159" s="187"/>
      <c r="P159" s="187"/>
      <c r="Q159" s="187"/>
      <c r="R159" s="187"/>
      <c r="S159" s="187"/>
      <c r="T159" s="187"/>
      <c r="U159" s="187"/>
      <c r="V159" s="188"/>
    </row>
    <row r="160" ht="15.75" customHeight="1">
      <c r="A160" s="65"/>
      <c r="B160" s="59"/>
      <c r="C160" s="207"/>
      <c r="D160" s="59"/>
      <c r="E160" s="65"/>
      <c r="F160" s="65"/>
      <c r="G160" s="65"/>
      <c r="H160" s="65"/>
      <c r="I160" s="65"/>
      <c r="J160" s="65"/>
      <c r="K160" s="65"/>
      <c r="L160" s="187"/>
      <c r="M160" s="187"/>
      <c r="N160" s="187"/>
      <c r="O160" s="187"/>
      <c r="P160" s="187"/>
      <c r="Q160" s="187"/>
      <c r="R160" s="187"/>
      <c r="S160" s="187"/>
      <c r="T160" s="187"/>
      <c r="U160" s="187"/>
      <c r="V160" s="188"/>
    </row>
    <row r="161" ht="15.75" customHeight="1">
      <c r="A161" s="65"/>
      <c r="B161" s="59"/>
      <c r="C161" s="207"/>
      <c r="D161" s="59"/>
      <c r="E161" s="65"/>
      <c r="F161" s="65"/>
      <c r="G161" s="65"/>
      <c r="H161" s="65"/>
      <c r="I161" s="65"/>
      <c r="J161" s="65"/>
      <c r="K161" s="65"/>
      <c r="L161" s="187"/>
      <c r="M161" s="187"/>
      <c r="N161" s="187"/>
      <c r="O161" s="187"/>
      <c r="P161" s="187"/>
      <c r="Q161" s="187"/>
      <c r="R161" s="187"/>
      <c r="S161" s="187"/>
      <c r="T161" s="187"/>
      <c r="U161" s="187"/>
      <c r="V161" s="188"/>
    </row>
    <row r="162" ht="15.75" customHeight="1">
      <c r="A162" s="65"/>
      <c r="B162" s="59"/>
      <c r="C162" s="207"/>
      <c r="D162" s="59"/>
      <c r="E162" s="65"/>
      <c r="F162" s="65"/>
      <c r="G162" s="65"/>
      <c r="H162" s="65"/>
      <c r="I162" s="65"/>
      <c r="J162" s="65"/>
      <c r="K162" s="65"/>
      <c r="L162" s="187"/>
      <c r="M162" s="187"/>
      <c r="N162" s="187"/>
      <c r="O162" s="187"/>
      <c r="P162" s="187"/>
      <c r="Q162" s="187"/>
      <c r="R162" s="187"/>
      <c r="S162" s="187"/>
      <c r="T162" s="187"/>
      <c r="U162" s="187"/>
      <c r="V162" s="188"/>
    </row>
    <row r="163" ht="15.75" customHeight="1">
      <c r="A163" s="65"/>
      <c r="B163" s="59"/>
      <c r="C163" s="207"/>
      <c r="D163" s="59"/>
      <c r="E163" s="65"/>
      <c r="F163" s="65"/>
      <c r="G163" s="65"/>
      <c r="H163" s="65"/>
      <c r="I163" s="65"/>
      <c r="J163" s="65"/>
      <c r="K163" s="65"/>
      <c r="L163" s="187"/>
      <c r="M163" s="187"/>
      <c r="N163" s="187"/>
      <c r="O163" s="187"/>
      <c r="P163" s="187"/>
      <c r="Q163" s="187"/>
      <c r="R163" s="187"/>
      <c r="S163" s="187"/>
      <c r="T163" s="187"/>
      <c r="U163" s="187"/>
      <c r="V163" s="188"/>
    </row>
    <row r="164" ht="15.75" customHeight="1">
      <c r="A164" s="65"/>
      <c r="B164" s="59"/>
      <c r="C164" s="207"/>
      <c r="D164" s="59"/>
      <c r="E164" s="65"/>
      <c r="F164" s="65"/>
      <c r="G164" s="65"/>
      <c r="H164" s="65"/>
      <c r="I164" s="65"/>
      <c r="J164" s="65"/>
      <c r="K164" s="65"/>
      <c r="L164" s="187"/>
      <c r="M164" s="187"/>
      <c r="N164" s="187"/>
      <c r="O164" s="187"/>
      <c r="P164" s="187"/>
      <c r="Q164" s="187"/>
      <c r="R164" s="187"/>
      <c r="S164" s="187"/>
      <c r="T164" s="187"/>
      <c r="U164" s="187"/>
      <c r="V164" s="188"/>
    </row>
    <row r="165" ht="15.75" customHeight="1">
      <c r="A165" s="65"/>
      <c r="B165" s="59"/>
      <c r="C165" s="207"/>
      <c r="D165" s="59"/>
      <c r="E165" s="65"/>
      <c r="F165" s="65"/>
      <c r="G165" s="65"/>
      <c r="H165" s="65"/>
      <c r="I165" s="65"/>
      <c r="J165" s="65"/>
      <c r="K165" s="65"/>
      <c r="L165" s="187"/>
      <c r="M165" s="187"/>
      <c r="N165" s="187"/>
      <c r="O165" s="187"/>
      <c r="P165" s="187"/>
      <c r="Q165" s="187"/>
      <c r="R165" s="187"/>
      <c r="S165" s="187"/>
      <c r="T165" s="187"/>
      <c r="U165" s="187"/>
      <c r="V165" s="188"/>
    </row>
    <row r="166" ht="15.75" customHeight="1">
      <c r="A166" s="65"/>
      <c r="B166" s="59"/>
      <c r="C166" s="207"/>
      <c r="D166" s="59"/>
      <c r="E166" s="65"/>
      <c r="F166" s="65"/>
      <c r="G166" s="65"/>
      <c r="H166" s="65"/>
      <c r="I166" s="65"/>
      <c r="J166" s="65"/>
      <c r="K166" s="65"/>
      <c r="L166" s="187"/>
      <c r="M166" s="187"/>
      <c r="N166" s="187"/>
      <c r="O166" s="187"/>
      <c r="P166" s="187"/>
      <c r="Q166" s="187"/>
      <c r="R166" s="187"/>
      <c r="S166" s="187"/>
      <c r="T166" s="187"/>
      <c r="U166" s="187"/>
      <c r="V166" s="188"/>
    </row>
    <row r="167" ht="15.75" customHeight="1">
      <c r="A167" s="65"/>
      <c r="B167" s="59"/>
      <c r="C167" s="207"/>
      <c r="D167" s="59"/>
      <c r="E167" s="65"/>
      <c r="F167" s="65"/>
      <c r="G167" s="65"/>
      <c r="H167" s="65"/>
      <c r="I167" s="65"/>
      <c r="J167" s="65"/>
      <c r="K167" s="65"/>
      <c r="L167" s="187"/>
      <c r="M167" s="187"/>
      <c r="N167" s="187"/>
      <c r="O167" s="187"/>
      <c r="P167" s="187"/>
      <c r="Q167" s="187"/>
      <c r="R167" s="187"/>
      <c r="S167" s="187"/>
      <c r="T167" s="187"/>
      <c r="U167" s="187"/>
      <c r="V167" s="188"/>
    </row>
    <row r="168" ht="15.75" customHeight="1">
      <c r="A168" s="65"/>
      <c r="B168" s="59"/>
      <c r="C168" s="207"/>
      <c r="D168" s="59"/>
      <c r="E168" s="65"/>
      <c r="F168" s="65"/>
      <c r="G168" s="65"/>
      <c r="H168" s="65"/>
      <c r="I168" s="65"/>
      <c r="J168" s="65"/>
      <c r="K168" s="65"/>
      <c r="L168" s="187"/>
      <c r="M168" s="187"/>
      <c r="N168" s="187"/>
      <c r="O168" s="187"/>
      <c r="P168" s="187"/>
      <c r="Q168" s="187"/>
      <c r="R168" s="187"/>
      <c r="S168" s="187"/>
      <c r="T168" s="187"/>
      <c r="U168" s="187"/>
      <c r="V168" s="188"/>
    </row>
    <row r="169" ht="15.75" customHeight="1">
      <c r="A169" s="65"/>
      <c r="B169" s="59"/>
      <c r="C169" s="207"/>
      <c r="D169" s="59"/>
      <c r="E169" s="65"/>
      <c r="F169" s="65"/>
      <c r="G169" s="65"/>
      <c r="H169" s="65"/>
      <c r="I169" s="65"/>
      <c r="J169" s="65"/>
      <c r="K169" s="65"/>
      <c r="L169" s="187"/>
      <c r="M169" s="187"/>
      <c r="N169" s="187"/>
      <c r="O169" s="187"/>
      <c r="P169" s="187"/>
      <c r="Q169" s="187"/>
      <c r="R169" s="187"/>
      <c r="S169" s="187"/>
      <c r="T169" s="187"/>
      <c r="U169" s="187"/>
      <c r="V169" s="188"/>
    </row>
    <row r="170" ht="15.75" customHeight="1">
      <c r="A170" s="65"/>
      <c r="B170" s="59"/>
      <c r="C170" s="207"/>
      <c r="D170" s="59"/>
      <c r="E170" s="65"/>
      <c r="F170" s="65"/>
      <c r="G170" s="65"/>
      <c r="H170" s="65"/>
      <c r="I170" s="65"/>
      <c r="J170" s="65"/>
      <c r="K170" s="65"/>
      <c r="L170" s="187"/>
      <c r="M170" s="187"/>
      <c r="N170" s="187"/>
      <c r="O170" s="187"/>
      <c r="P170" s="187"/>
      <c r="Q170" s="187"/>
      <c r="R170" s="187"/>
      <c r="S170" s="187"/>
      <c r="T170" s="187"/>
      <c r="U170" s="187"/>
      <c r="V170" s="188"/>
    </row>
    <row r="171" ht="15.75" customHeight="1">
      <c r="A171" s="65"/>
      <c r="B171" s="59"/>
      <c r="C171" s="207"/>
      <c r="D171" s="59"/>
      <c r="E171" s="65"/>
      <c r="F171" s="65"/>
      <c r="G171" s="65"/>
      <c r="H171" s="65"/>
      <c r="I171" s="65"/>
      <c r="J171" s="65"/>
      <c r="K171" s="65"/>
      <c r="L171" s="187"/>
      <c r="M171" s="187"/>
      <c r="N171" s="187"/>
      <c r="O171" s="187"/>
      <c r="P171" s="187"/>
      <c r="Q171" s="187"/>
      <c r="R171" s="187"/>
      <c r="S171" s="187"/>
      <c r="T171" s="187"/>
      <c r="U171" s="187"/>
      <c r="V171" s="188"/>
    </row>
    <row r="172" ht="15.75" customHeight="1">
      <c r="A172" s="65"/>
      <c r="B172" s="59"/>
      <c r="C172" s="207"/>
      <c r="D172" s="59"/>
      <c r="E172" s="65"/>
      <c r="F172" s="65"/>
      <c r="G172" s="65"/>
      <c r="H172" s="65"/>
      <c r="I172" s="65"/>
      <c r="J172" s="65"/>
      <c r="K172" s="65"/>
      <c r="L172" s="187"/>
      <c r="M172" s="187"/>
      <c r="N172" s="187"/>
      <c r="O172" s="187"/>
      <c r="P172" s="187"/>
      <c r="Q172" s="187"/>
      <c r="R172" s="187"/>
      <c r="S172" s="187"/>
      <c r="T172" s="187"/>
      <c r="U172" s="187"/>
      <c r="V172" s="188"/>
    </row>
    <row r="173" ht="15.75" customHeight="1">
      <c r="A173" s="65"/>
      <c r="B173" s="59"/>
      <c r="C173" s="207"/>
      <c r="D173" s="59"/>
      <c r="E173" s="65"/>
      <c r="F173" s="65"/>
      <c r="G173" s="65"/>
      <c r="H173" s="65"/>
      <c r="I173" s="65"/>
      <c r="J173" s="65"/>
      <c r="K173" s="65"/>
      <c r="L173" s="187"/>
      <c r="M173" s="187"/>
      <c r="N173" s="187"/>
      <c r="O173" s="187"/>
      <c r="P173" s="187"/>
      <c r="Q173" s="187"/>
      <c r="R173" s="187"/>
      <c r="S173" s="187"/>
      <c r="T173" s="187"/>
      <c r="U173" s="187"/>
      <c r="V173" s="188"/>
    </row>
    <row r="174" ht="15.75" customHeight="1">
      <c r="A174" s="65"/>
      <c r="B174" s="59"/>
      <c r="C174" s="207"/>
      <c r="D174" s="59"/>
      <c r="E174" s="65"/>
      <c r="F174" s="65"/>
      <c r="G174" s="65"/>
      <c r="H174" s="65"/>
      <c r="I174" s="65"/>
      <c r="J174" s="65"/>
      <c r="K174" s="65"/>
      <c r="L174" s="187"/>
      <c r="M174" s="187"/>
      <c r="N174" s="187"/>
      <c r="O174" s="187"/>
      <c r="P174" s="187"/>
      <c r="Q174" s="187"/>
      <c r="R174" s="187"/>
      <c r="S174" s="187"/>
      <c r="T174" s="187"/>
      <c r="U174" s="187"/>
      <c r="V174" s="188"/>
    </row>
    <row r="175" ht="15.75" customHeight="1">
      <c r="A175" s="65"/>
      <c r="B175" s="59"/>
      <c r="C175" s="207"/>
      <c r="D175" s="59"/>
      <c r="E175" s="65"/>
      <c r="F175" s="65"/>
      <c r="G175" s="65"/>
      <c r="H175" s="65"/>
      <c r="I175" s="65"/>
      <c r="J175" s="65"/>
      <c r="K175" s="65"/>
      <c r="L175" s="187"/>
      <c r="M175" s="187"/>
      <c r="N175" s="187"/>
      <c r="O175" s="187"/>
      <c r="P175" s="187"/>
      <c r="Q175" s="187"/>
      <c r="R175" s="187"/>
      <c r="S175" s="187"/>
      <c r="T175" s="187"/>
      <c r="U175" s="187"/>
      <c r="V175" s="188"/>
    </row>
    <row r="176" ht="15.75" customHeight="1">
      <c r="A176" s="65"/>
      <c r="B176" s="59"/>
      <c r="C176" s="207"/>
      <c r="D176" s="59"/>
      <c r="E176" s="65"/>
      <c r="F176" s="65"/>
      <c r="G176" s="65"/>
      <c r="H176" s="65"/>
      <c r="I176" s="65"/>
      <c r="J176" s="65"/>
      <c r="K176" s="65"/>
      <c r="L176" s="187"/>
      <c r="M176" s="187"/>
      <c r="N176" s="187"/>
      <c r="O176" s="187"/>
      <c r="P176" s="187"/>
      <c r="Q176" s="187"/>
      <c r="R176" s="187"/>
      <c r="S176" s="187"/>
      <c r="T176" s="187"/>
      <c r="U176" s="187"/>
      <c r="V176" s="188"/>
    </row>
    <row r="177" ht="15.75" customHeight="1">
      <c r="A177" s="65"/>
      <c r="B177" s="59"/>
      <c r="C177" s="207"/>
      <c r="D177" s="59"/>
      <c r="E177" s="65"/>
      <c r="F177" s="65"/>
      <c r="G177" s="65"/>
      <c r="H177" s="65"/>
      <c r="I177" s="65"/>
      <c r="J177" s="65"/>
      <c r="K177" s="65"/>
      <c r="L177" s="187"/>
      <c r="M177" s="187"/>
      <c r="N177" s="187"/>
      <c r="O177" s="187"/>
      <c r="P177" s="187"/>
      <c r="Q177" s="187"/>
      <c r="R177" s="187"/>
      <c r="S177" s="187"/>
      <c r="T177" s="187"/>
      <c r="U177" s="187"/>
      <c r="V177" s="188"/>
    </row>
    <row r="178" ht="15.75" customHeight="1">
      <c r="A178" s="65"/>
      <c r="B178" s="59"/>
      <c r="C178" s="207"/>
      <c r="D178" s="59"/>
      <c r="E178" s="65"/>
      <c r="F178" s="65"/>
      <c r="G178" s="65"/>
      <c r="H178" s="65"/>
      <c r="I178" s="65"/>
      <c r="J178" s="65"/>
      <c r="K178" s="65"/>
      <c r="L178" s="187"/>
      <c r="M178" s="187"/>
      <c r="N178" s="187"/>
      <c r="O178" s="187"/>
      <c r="P178" s="187"/>
      <c r="Q178" s="187"/>
      <c r="R178" s="187"/>
      <c r="S178" s="187"/>
      <c r="T178" s="187"/>
      <c r="U178" s="187"/>
      <c r="V178" s="188"/>
    </row>
    <row r="179" ht="15.75" customHeight="1">
      <c r="A179" s="65"/>
      <c r="B179" s="59"/>
      <c r="C179" s="207"/>
      <c r="D179" s="59"/>
      <c r="E179" s="65"/>
      <c r="F179" s="65"/>
      <c r="G179" s="65"/>
      <c r="H179" s="65"/>
      <c r="I179" s="65"/>
      <c r="J179" s="65"/>
      <c r="K179" s="65"/>
      <c r="L179" s="187"/>
      <c r="M179" s="187"/>
      <c r="N179" s="187"/>
      <c r="O179" s="187"/>
      <c r="P179" s="187"/>
      <c r="Q179" s="187"/>
      <c r="R179" s="187"/>
      <c r="S179" s="187"/>
      <c r="T179" s="187"/>
      <c r="U179" s="187"/>
      <c r="V179" s="188"/>
    </row>
    <row r="180" ht="15.75" customHeight="1">
      <c r="A180" s="65"/>
      <c r="B180" s="59"/>
      <c r="C180" s="207"/>
      <c r="D180" s="59"/>
      <c r="E180" s="65"/>
      <c r="F180" s="65"/>
      <c r="G180" s="65"/>
      <c r="H180" s="65"/>
      <c r="I180" s="65"/>
      <c r="J180" s="65"/>
      <c r="K180" s="65"/>
      <c r="L180" s="187"/>
      <c r="M180" s="187"/>
      <c r="N180" s="187"/>
      <c r="O180" s="187"/>
      <c r="P180" s="187"/>
      <c r="Q180" s="187"/>
      <c r="R180" s="187"/>
      <c r="S180" s="187"/>
      <c r="T180" s="187"/>
      <c r="U180" s="187"/>
      <c r="V180" s="188"/>
    </row>
    <row r="181" ht="15.75" customHeight="1">
      <c r="A181" s="65"/>
      <c r="B181" s="59"/>
      <c r="C181" s="207"/>
      <c r="D181" s="59"/>
      <c r="E181" s="65"/>
      <c r="F181" s="65"/>
      <c r="G181" s="65"/>
      <c r="H181" s="65"/>
      <c r="I181" s="65"/>
      <c r="J181" s="65"/>
      <c r="K181" s="65"/>
      <c r="L181" s="187"/>
      <c r="M181" s="187"/>
      <c r="N181" s="187"/>
      <c r="O181" s="187"/>
      <c r="P181" s="187"/>
      <c r="Q181" s="187"/>
      <c r="R181" s="187"/>
      <c r="S181" s="187"/>
      <c r="T181" s="187"/>
      <c r="U181" s="187"/>
      <c r="V181" s="188"/>
    </row>
    <row r="182" ht="15.75" customHeight="1">
      <c r="A182" s="65"/>
      <c r="B182" s="59"/>
      <c r="C182" s="207"/>
      <c r="D182" s="59"/>
      <c r="E182" s="65"/>
      <c r="F182" s="65"/>
      <c r="G182" s="65"/>
      <c r="H182" s="65"/>
      <c r="I182" s="65"/>
      <c r="J182" s="65"/>
      <c r="K182" s="65"/>
      <c r="L182" s="187"/>
      <c r="M182" s="187"/>
      <c r="N182" s="187"/>
      <c r="O182" s="187"/>
      <c r="P182" s="187"/>
      <c r="Q182" s="187"/>
      <c r="R182" s="187"/>
      <c r="S182" s="187"/>
      <c r="T182" s="187"/>
      <c r="U182" s="187"/>
      <c r="V182" s="188"/>
    </row>
    <row r="183" ht="15.75" customHeight="1">
      <c r="A183" s="65"/>
      <c r="B183" s="59"/>
      <c r="C183" s="207"/>
      <c r="D183" s="59"/>
      <c r="E183" s="65"/>
      <c r="F183" s="65"/>
      <c r="G183" s="65"/>
      <c r="H183" s="65"/>
      <c r="I183" s="65"/>
      <c r="J183" s="65"/>
      <c r="K183" s="65"/>
      <c r="L183" s="187"/>
      <c r="M183" s="187"/>
      <c r="N183" s="187"/>
      <c r="O183" s="187"/>
      <c r="P183" s="187"/>
      <c r="Q183" s="187"/>
      <c r="R183" s="187"/>
      <c r="S183" s="187"/>
      <c r="T183" s="187"/>
      <c r="U183" s="187"/>
      <c r="V183" s="188"/>
    </row>
    <row r="184" ht="15.75" customHeight="1">
      <c r="A184" s="65"/>
      <c r="B184" s="59"/>
      <c r="C184" s="207"/>
      <c r="D184" s="59"/>
      <c r="E184" s="65"/>
      <c r="F184" s="65"/>
      <c r="G184" s="65"/>
      <c r="H184" s="65"/>
      <c r="I184" s="65"/>
      <c r="J184" s="65"/>
      <c r="K184" s="65"/>
      <c r="L184" s="187"/>
      <c r="M184" s="187"/>
      <c r="N184" s="187"/>
      <c r="O184" s="187"/>
      <c r="P184" s="187"/>
      <c r="Q184" s="187"/>
      <c r="R184" s="187"/>
      <c r="S184" s="187"/>
      <c r="T184" s="187"/>
      <c r="U184" s="187"/>
      <c r="V184" s="188"/>
    </row>
    <row r="185" ht="15.75" customHeight="1">
      <c r="A185" s="65"/>
      <c r="B185" s="59"/>
      <c r="C185" s="207"/>
      <c r="D185" s="59"/>
      <c r="E185" s="65"/>
      <c r="F185" s="65"/>
      <c r="G185" s="65"/>
      <c r="H185" s="65"/>
      <c r="I185" s="65"/>
      <c r="J185" s="65"/>
      <c r="K185" s="65"/>
      <c r="L185" s="187"/>
      <c r="M185" s="187"/>
      <c r="N185" s="187"/>
      <c r="O185" s="187"/>
      <c r="P185" s="187"/>
      <c r="Q185" s="187"/>
      <c r="R185" s="187"/>
      <c r="S185" s="187"/>
      <c r="T185" s="187"/>
      <c r="U185" s="187"/>
      <c r="V185" s="188"/>
    </row>
    <row r="186" ht="15.75" customHeight="1">
      <c r="A186" s="65"/>
      <c r="B186" s="59"/>
      <c r="C186" s="207"/>
      <c r="D186" s="59"/>
      <c r="E186" s="65"/>
      <c r="F186" s="65"/>
      <c r="G186" s="65"/>
      <c r="H186" s="65"/>
      <c r="I186" s="65"/>
      <c r="J186" s="65"/>
      <c r="K186" s="65"/>
      <c r="L186" s="187"/>
      <c r="M186" s="187"/>
      <c r="N186" s="187"/>
      <c r="O186" s="187"/>
      <c r="P186" s="187"/>
      <c r="Q186" s="187"/>
      <c r="R186" s="187"/>
      <c r="S186" s="187"/>
      <c r="T186" s="187"/>
      <c r="U186" s="187"/>
      <c r="V186" s="188"/>
    </row>
    <row r="187" ht="15.75" customHeight="1">
      <c r="A187" s="65"/>
      <c r="B187" s="59"/>
      <c r="C187" s="65"/>
      <c r="D187" s="59"/>
      <c r="E187" s="65"/>
      <c r="F187" s="65"/>
      <c r="G187" s="65"/>
      <c r="H187" s="65"/>
      <c r="I187" s="65"/>
      <c r="J187" s="65"/>
      <c r="K187" s="65"/>
      <c r="L187" s="187"/>
      <c r="M187" s="187"/>
      <c r="N187" s="187"/>
      <c r="O187" s="187"/>
      <c r="P187" s="187"/>
      <c r="Q187" s="187"/>
      <c r="R187" s="187"/>
      <c r="S187" s="187"/>
      <c r="T187" s="187"/>
      <c r="U187" s="187"/>
      <c r="V187" s="188"/>
    </row>
    <row r="188" ht="15.75" customHeight="1">
      <c r="A188" s="65"/>
      <c r="B188" s="59"/>
      <c r="C188" s="65"/>
      <c r="D188" s="59"/>
      <c r="E188" s="65"/>
      <c r="F188" s="65"/>
      <c r="G188" s="65"/>
      <c r="H188" s="65"/>
      <c r="I188" s="65"/>
      <c r="J188" s="65"/>
      <c r="K188" s="65"/>
      <c r="L188" s="187"/>
      <c r="M188" s="187"/>
      <c r="N188" s="187"/>
      <c r="O188" s="187"/>
      <c r="P188" s="187"/>
      <c r="Q188" s="187"/>
      <c r="R188" s="187"/>
      <c r="S188" s="187"/>
      <c r="T188" s="187"/>
      <c r="U188" s="187"/>
      <c r="V188" s="188"/>
    </row>
    <row r="189" ht="15.75" customHeight="1">
      <c r="A189" s="65"/>
      <c r="B189" s="59"/>
      <c r="C189" s="65"/>
      <c r="D189" s="59"/>
      <c r="E189" s="65"/>
      <c r="F189" s="65"/>
      <c r="G189" s="65"/>
      <c r="H189" s="65"/>
      <c r="I189" s="65"/>
      <c r="J189" s="65"/>
      <c r="K189" s="65"/>
      <c r="L189" s="187"/>
      <c r="M189" s="187"/>
      <c r="N189" s="187"/>
      <c r="O189" s="187"/>
      <c r="P189" s="187"/>
      <c r="Q189" s="187"/>
      <c r="R189" s="187"/>
      <c r="S189" s="187"/>
      <c r="T189" s="187"/>
      <c r="U189" s="187"/>
      <c r="V189" s="188"/>
    </row>
    <row r="190" ht="15.75" customHeight="1">
      <c r="A190" s="65"/>
      <c r="B190" s="59"/>
      <c r="C190" s="65"/>
      <c r="D190" s="59"/>
      <c r="E190" s="65"/>
      <c r="F190" s="65"/>
      <c r="G190" s="65"/>
      <c r="H190" s="65"/>
      <c r="I190" s="65"/>
      <c r="J190" s="65"/>
      <c r="K190" s="65"/>
      <c r="L190" s="187"/>
      <c r="M190" s="187"/>
      <c r="N190" s="187"/>
      <c r="O190" s="187"/>
      <c r="P190" s="187"/>
      <c r="Q190" s="187"/>
      <c r="R190" s="187"/>
      <c r="S190" s="187"/>
      <c r="T190" s="187"/>
      <c r="U190" s="187"/>
      <c r="V190" s="188"/>
    </row>
    <row r="191" ht="15.75" customHeight="1">
      <c r="A191" s="65"/>
      <c r="B191" s="59"/>
      <c r="C191" s="65"/>
      <c r="D191" s="59"/>
      <c r="E191" s="65"/>
      <c r="F191" s="65"/>
      <c r="G191" s="65"/>
      <c r="H191" s="65"/>
      <c r="I191" s="65"/>
      <c r="J191" s="65"/>
      <c r="K191" s="65"/>
      <c r="L191" s="187"/>
      <c r="M191" s="187"/>
      <c r="N191" s="187"/>
      <c r="O191" s="187"/>
      <c r="P191" s="187"/>
      <c r="Q191" s="187"/>
      <c r="R191" s="187"/>
      <c r="S191" s="187"/>
      <c r="T191" s="187"/>
      <c r="U191" s="187"/>
      <c r="V191" s="188"/>
    </row>
    <row r="192" ht="15.75" customHeight="1">
      <c r="A192" s="65"/>
      <c r="B192" s="59"/>
      <c r="C192" s="65"/>
      <c r="D192" s="59"/>
      <c r="E192" s="65"/>
      <c r="F192" s="65"/>
      <c r="G192" s="65"/>
      <c r="H192" s="65"/>
      <c r="I192" s="65"/>
      <c r="J192" s="65"/>
      <c r="K192" s="65"/>
      <c r="L192" s="187"/>
      <c r="M192" s="187"/>
      <c r="N192" s="187"/>
      <c r="O192" s="187"/>
      <c r="P192" s="187"/>
      <c r="Q192" s="187"/>
      <c r="R192" s="187"/>
      <c r="S192" s="187"/>
      <c r="T192" s="187"/>
      <c r="U192" s="187"/>
      <c r="V192" s="188"/>
    </row>
    <row r="193" ht="15.75" customHeight="1">
      <c r="A193" s="65"/>
      <c r="B193" s="59"/>
      <c r="C193" s="65"/>
      <c r="D193" s="59"/>
      <c r="E193" s="65"/>
      <c r="F193" s="65"/>
      <c r="G193" s="65"/>
      <c r="H193" s="65"/>
      <c r="I193" s="65"/>
      <c r="J193" s="65"/>
      <c r="K193" s="65"/>
      <c r="L193" s="187"/>
      <c r="M193" s="187"/>
      <c r="N193" s="187"/>
      <c r="O193" s="187"/>
      <c r="P193" s="187"/>
      <c r="Q193" s="187"/>
      <c r="R193" s="187"/>
      <c r="S193" s="187"/>
      <c r="T193" s="187"/>
      <c r="U193" s="187"/>
      <c r="V193" s="188"/>
    </row>
    <row r="194" ht="15.75" customHeight="1">
      <c r="A194" s="65"/>
      <c r="B194" s="59"/>
      <c r="C194" s="65"/>
      <c r="D194" s="59"/>
      <c r="E194" s="65"/>
      <c r="F194" s="65"/>
      <c r="G194" s="65"/>
      <c r="H194" s="65"/>
      <c r="I194" s="65"/>
      <c r="J194" s="65"/>
      <c r="K194" s="65"/>
      <c r="L194" s="187"/>
      <c r="M194" s="187"/>
      <c r="N194" s="187"/>
      <c r="O194" s="187"/>
      <c r="P194" s="187"/>
      <c r="Q194" s="187"/>
      <c r="R194" s="187"/>
      <c r="S194" s="187"/>
      <c r="T194" s="187"/>
      <c r="U194" s="187"/>
      <c r="V194" s="188"/>
    </row>
    <row r="195" ht="15.75" customHeight="1">
      <c r="A195" s="65"/>
      <c r="B195" s="59"/>
      <c r="C195" s="65"/>
      <c r="D195" s="59"/>
      <c r="E195" s="65"/>
      <c r="F195" s="65"/>
      <c r="G195" s="65"/>
      <c r="H195" s="65"/>
      <c r="I195" s="65"/>
      <c r="J195" s="65"/>
      <c r="K195" s="65"/>
      <c r="L195" s="187"/>
      <c r="M195" s="187"/>
      <c r="N195" s="187"/>
      <c r="O195" s="187"/>
      <c r="P195" s="187"/>
      <c r="Q195" s="187"/>
      <c r="R195" s="187"/>
      <c r="S195" s="187"/>
      <c r="T195" s="187"/>
      <c r="U195" s="187"/>
      <c r="V195" s="188"/>
    </row>
    <row r="196" ht="15.75" customHeight="1">
      <c r="A196" s="65"/>
      <c r="B196" s="59"/>
      <c r="C196" s="65"/>
      <c r="D196" s="59"/>
      <c r="E196" s="65"/>
      <c r="F196" s="65"/>
      <c r="G196" s="65"/>
      <c r="H196" s="65"/>
      <c r="I196" s="65"/>
      <c r="J196" s="65"/>
      <c r="K196" s="65"/>
      <c r="L196" s="187"/>
      <c r="M196" s="187"/>
      <c r="N196" s="187"/>
      <c r="O196" s="187"/>
      <c r="P196" s="187"/>
      <c r="Q196" s="187"/>
      <c r="R196" s="187"/>
      <c r="S196" s="187"/>
      <c r="T196" s="187"/>
      <c r="U196" s="187"/>
      <c r="V196" s="188"/>
    </row>
    <row r="197" ht="15.75" customHeight="1">
      <c r="A197" s="65"/>
      <c r="B197" s="59"/>
      <c r="C197" s="65"/>
      <c r="D197" s="59"/>
      <c r="E197" s="65"/>
      <c r="F197" s="65"/>
      <c r="G197" s="65"/>
      <c r="H197" s="65"/>
      <c r="I197" s="65"/>
      <c r="J197" s="65"/>
      <c r="K197" s="65"/>
      <c r="L197" s="187"/>
      <c r="M197" s="187"/>
      <c r="N197" s="187"/>
      <c r="O197" s="187"/>
      <c r="P197" s="187"/>
      <c r="Q197" s="187"/>
      <c r="R197" s="187"/>
      <c r="S197" s="187"/>
      <c r="T197" s="187"/>
      <c r="U197" s="187"/>
      <c r="V197" s="188"/>
    </row>
    <row r="198" ht="15.75" customHeight="1">
      <c r="A198" s="65"/>
      <c r="B198" s="59"/>
      <c r="C198" s="65"/>
      <c r="D198" s="59"/>
      <c r="E198" s="65"/>
      <c r="F198" s="65"/>
      <c r="G198" s="65"/>
      <c r="H198" s="65"/>
      <c r="I198" s="65"/>
      <c r="J198" s="65"/>
      <c r="K198" s="65"/>
      <c r="L198" s="187"/>
      <c r="M198" s="187"/>
      <c r="N198" s="187"/>
      <c r="O198" s="187"/>
      <c r="P198" s="187"/>
      <c r="Q198" s="187"/>
      <c r="R198" s="187"/>
      <c r="S198" s="187"/>
      <c r="T198" s="187"/>
      <c r="U198" s="187"/>
      <c r="V198" s="188"/>
    </row>
    <row r="199" ht="15.75" customHeight="1">
      <c r="A199" s="65"/>
      <c r="B199" s="59"/>
      <c r="C199" s="65"/>
      <c r="D199" s="59"/>
      <c r="E199" s="65"/>
      <c r="F199" s="65"/>
      <c r="G199" s="65"/>
      <c r="H199" s="65"/>
      <c r="I199" s="65"/>
      <c r="J199" s="65"/>
      <c r="K199" s="65"/>
      <c r="L199" s="187"/>
      <c r="M199" s="187"/>
      <c r="N199" s="187"/>
      <c r="O199" s="187"/>
      <c r="P199" s="187"/>
      <c r="Q199" s="187"/>
      <c r="R199" s="187"/>
      <c r="S199" s="187"/>
      <c r="T199" s="187"/>
      <c r="U199" s="187"/>
      <c r="V199" s="188"/>
    </row>
    <row r="200" ht="15.75" customHeight="1">
      <c r="A200" s="65"/>
      <c r="B200" s="59"/>
      <c r="C200" s="65"/>
      <c r="D200" s="59"/>
      <c r="E200" s="65"/>
      <c r="F200" s="65"/>
      <c r="G200" s="65"/>
      <c r="H200" s="65"/>
      <c r="I200" s="65"/>
      <c r="J200" s="65"/>
      <c r="K200" s="65"/>
      <c r="L200" s="187"/>
      <c r="M200" s="187"/>
      <c r="N200" s="187"/>
      <c r="O200" s="187"/>
      <c r="P200" s="187"/>
      <c r="Q200" s="187"/>
      <c r="R200" s="187"/>
      <c r="S200" s="187"/>
      <c r="T200" s="187"/>
      <c r="U200" s="187"/>
      <c r="V200" s="188"/>
    </row>
    <row r="201" ht="15.75" customHeight="1">
      <c r="A201" s="65"/>
      <c r="B201" s="59"/>
      <c r="C201" s="65"/>
      <c r="D201" s="59"/>
      <c r="E201" s="65"/>
      <c r="F201" s="65"/>
      <c r="G201" s="65"/>
      <c r="H201" s="65"/>
      <c r="I201" s="65"/>
      <c r="J201" s="65"/>
      <c r="K201" s="65"/>
      <c r="L201" s="187"/>
      <c r="M201" s="187"/>
      <c r="N201" s="187"/>
      <c r="O201" s="187"/>
      <c r="P201" s="187"/>
      <c r="Q201" s="187"/>
      <c r="R201" s="187"/>
      <c r="S201" s="187"/>
      <c r="T201" s="187"/>
      <c r="U201" s="187"/>
      <c r="V201" s="188"/>
    </row>
    <row r="202" ht="15.75" customHeight="1">
      <c r="A202" s="65"/>
      <c r="B202" s="59"/>
      <c r="C202" s="65"/>
      <c r="D202" s="59"/>
      <c r="E202" s="65"/>
      <c r="F202" s="65"/>
      <c r="G202" s="65"/>
      <c r="H202" s="65"/>
      <c r="I202" s="65"/>
      <c r="J202" s="65"/>
      <c r="K202" s="65"/>
      <c r="L202" s="187"/>
      <c r="M202" s="187"/>
      <c r="N202" s="187"/>
      <c r="O202" s="187"/>
      <c r="P202" s="187"/>
      <c r="Q202" s="187"/>
      <c r="R202" s="187"/>
      <c r="S202" s="187"/>
      <c r="T202" s="187"/>
      <c r="U202" s="187"/>
      <c r="V202" s="188"/>
    </row>
    <row r="203" ht="15.75" customHeight="1">
      <c r="A203" s="65"/>
      <c r="B203" s="59"/>
      <c r="C203" s="65"/>
      <c r="D203" s="59"/>
      <c r="E203" s="65"/>
      <c r="F203" s="65"/>
      <c r="G203" s="65"/>
      <c r="H203" s="65"/>
      <c r="I203" s="65"/>
      <c r="J203" s="65"/>
      <c r="K203" s="65"/>
      <c r="L203" s="187"/>
      <c r="M203" s="187"/>
      <c r="N203" s="187"/>
      <c r="O203" s="187"/>
      <c r="P203" s="187"/>
      <c r="Q203" s="187"/>
      <c r="R203" s="187"/>
      <c r="S203" s="187"/>
      <c r="T203" s="187"/>
      <c r="U203" s="187"/>
      <c r="V203" s="188"/>
    </row>
    <row r="204" ht="15.75" customHeight="1">
      <c r="A204" s="65"/>
      <c r="B204" s="59"/>
      <c r="C204" s="65"/>
      <c r="D204" s="59"/>
      <c r="E204" s="65"/>
      <c r="F204" s="65"/>
      <c r="G204" s="65"/>
      <c r="H204" s="65"/>
      <c r="I204" s="65"/>
      <c r="J204" s="65"/>
      <c r="K204" s="65"/>
      <c r="L204" s="187"/>
      <c r="M204" s="187"/>
      <c r="N204" s="187"/>
      <c r="O204" s="187"/>
      <c r="P204" s="187"/>
      <c r="Q204" s="187"/>
      <c r="R204" s="187"/>
      <c r="S204" s="187"/>
      <c r="T204" s="187"/>
      <c r="U204" s="187"/>
      <c r="V204" s="188"/>
    </row>
    <row r="205" ht="15.75" customHeight="1">
      <c r="A205" s="65"/>
      <c r="B205" s="59"/>
      <c r="C205" s="65"/>
      <c r="D205" s="59"/>
      <c r="E205" s="65"/>
      <c r="F205" s="65"/>
      <c r="G205" s="65"/>
      <c r="H205" s="65"/>
      <c r="I205" s="65"/>
      <c r="J205" s="65"/>
      <c r="K205" s="65"/>
      <c r="L205" s="187"/>
      <c r="M205" s="187"/>
      <c r="N205" s="187"/>
      <c r="O205" s="187"/>
      <c r="P205" s="187"/>
      <c r="Q205" s="187"/>
      <c r="R205" s="187"/>
      <c r="S205" s="187"/>
      <c r="T205" s="187"/>
      <c r="U205" s="187"/>
      <c r="V205" s="188"/>
    </row>
    <row r="206" ht="15.75" customHeight="1">
      <c r="A206" s="65"/>
      <c r="B206" s="59"/>
      <c r="C206" s="65"/>
      <c r="D206" s="59"/>
      <c r="E206" s="65"/>
      <c r="F206" s="65"/>
      <c r="G206" s="65"/>
      <c r="H206" s="65"/>
      <c r="I206" s="65"/>
      <c r="J206" s="65"/>
      <c r="K206" s="65"/>
      <c r="L206" s="187"/>
      <c r="M206" s="187"/>
      <c r="N206" s="187"/>
      <c r="O206" s="187"/>
      <c r="P206" s="187"/>
      <c r="Q206" s="187"/>
      <c r="R206" s="187"/>
      <c r="S206" s="187"/>
      <c r="T206" s="187"/>
      <c r="U206" s="187"/>
      <c r="V206" s="188"/>
    </row>
    <row r="207" ht="15.75" customHeight="1">
      <c r="A207" s="65"/>
      <c r="B207" s="59"/>
      <c r="C207" s="65"/>
      <c r="D207" s="59"/>
      <c r="E207" s="65"/>
      <c r="F207" s="65"/>
      <c r="G207" s="65"/>
      <c r="H207" s="65"/>
      <c r="I207" s="65"/>
      <c r="J207" s="65"/>
      <c r="K207" s="65"/>
      <c r="L207" s="187"/>
      <c r="M207" s="187"/>
      <c r="N207" s="187"/>
      <c r="O207" s="187"/>
      <c r="P207" s="187"/>
      <c r="Q207" s="187"/>
      <c r="R207" s="187"/>
      <c r="S207" s="187"/>
      <c r="T207" s="187"/>
      <c r="U207" s="187"/>
      <c r="V207" s="188"/>
    </row>
    <row r="208" ht="15.75" customHeight="1">
      <c r="A208" s="65"/>
      <c r="B208" s="59"/>
      <c r="C208" s="65"/>
      <c r="D208" s="59"/>
      <c r="E208" s="65"/>
      <c r="F208" s="65"/>
      <c r="G208" s="65"/>
      <c r="H208" s="65"/>
      <c r="I208" s="65"/>
      <c r="J208" s="65"/>
      <c r="K208" s="65"/>
      <c r="L208" s="187"/>
      <c r="M208" s="187"/>
      <c r="N208" s="187"/>
      <c r="O208" s="187"/>
      <c r="P208" s="187"/>
      <c r="Q208" s="187"/>
      <c r="R208" s="187"/>
      <c r="S208" s="187"/>
      <c r="T208" s="187"/>
      <c r="U208" s="187"/>
      <c r="V208" s="188"/>
    </row>
    <row r="209" ht="15.75" customHeight="1">
      <c r="A209" s="65"/>
      <c r="B209" s="59"/>
      <c r="C209" s="65"/>
      <c r="D209" s="59"/>
      <c r="E209" s="65"/>
      <c r="F209" s="65"/>
      <c r="G209" s="65"/>
      <c r="H209" s="65"/>
      <c r="I209" s="65"/>
      <c r="J209" s="65"/>
      <c r="K209" s="65"/>
      <c r="L209" s="187"/>
      <c r="M209" s="187"/>
      <c r="N209" s="187"/>
      <c r="O209" s="187"/>
      <c r="P209" s="187"/>
      <c r="Q209" s="187"/>
      <c r="R209" s="187"/>
      <c r="S209" s="187"/>
      <c r="T209" s="187"/>
      <c r="U209" s="187"/>
      <c r="V209" s="188"/>
    </row>
    <row r="210" ht="15.75" customHeight="1">
      <c r="A210" s="65"/>
      <c r="B210" s="59"/>
      <c r="C210" s="65"/>
      <c r="D210" s="59"/>
      <c r="E210" s="65"/>
      <c r="F210" s="65"/>
      <c r="G210" s="65"/>
      <c r="H210" s="65"/>
      <c r="I210" s="65"/>
      <c r="J210" s="65"/>
      <c r="K210" s="65"/>
      <c r="L210" s="187"/>
      <c r="M210" s="187"/>
      <c r="N210" s="187"/>
      <c r="O210" s="187"/>
      <c r="P210" s="187"/>
      <c r="Q210" s="187"/>
      <c r="R210" s="187"/>
      <c r="S210" s="187"/>
      <c r="T210" s="187"/>
      <c r="U210" s="187"/>
      <c r="V210" s="188"/>
    </row>
    <row r="211" ht="15.75" customHeight="1">
      <c r="A211" s="65"/>
      <c r="B211" s="59"/>
      <c r="C211" s="65"/>
      <c r="D211" s="59"/>
      <c r="E211" s="65"/>
      <c r="F211" s="65"/>
      <c r="G211" s="65"/>
      <c r="H211" s="65"/>
      <c r="I211" s="65"/>
      <c r="J211" s="65"/>
      <c r="K211" s="65"/>
      <c r="L211" s="187"/>
      <c r="M211" s="187"/>
      <c r="N211" s="187"/>
      <c r="O211" s="187"/>
      <c r="P211" s="187"/>
      <c r="Q211" s="187"/>
      <c r="R211" s="187"/>
      <c r="S211" s="187"/>
      <c r="T211" s="187"/>
      <c r="U211" s="187"/>
      <c r="V211" s="188"/>
    </row>
    <row r="212" ht="15.75" customHeight="1">
      <c r="A212" s="65"/>
      <c r="B212" s="59"/>
      <c r="C212" s="65"/>
      <c r="D212" s="59"/>
      <c r="E212" s="65"/>
      <c r="F212" s="65"/>
      <c r="G212" s="65"/>
      <c r="H212" s="65"/>
      <c r="I212" s="65"/>
      <c r="J212" s="65"/>
      <c r="K212" s="65"/>
      <c r="L212" s="187"/>
      <c r="M212" s="187"/>
      <c r="N212" s="187"/>
      <c r="O212" s="187"/>
      <c r="P212" s="187"/>
      <c r="Q212" s="187"/>
      <c r="R212" s="187"/>
      <c r="S212" s="187"/>
      <c r="T212" s="187"/>
      <c r="U212" s="187"/>
      <c r="V212" s="188"/>
    </row>
    <row r="213" ht="15.75" customHeight="1">
      <c r="A213" s="65"/>
      <c r="B213" s="59"/>
      <c r="C213" s="65"/>
      <c r="D213" s="59"/>
      <c r="E213" s="65"/>
      <c r="F213" s="65"/>
      <c r="G213" s="65"/>
      <c r="H213" s="65"/>
      <c r="I213" s="65"/>
      <c r="J213" s="65"/>
      <c r="K213" s="65"/>
      <c r="L213" s="187"/>
      <c r="M213" s="187"/>
      <c r="N213" s="187"/>
      <c r="O213" s="187"/>
      <c r="P213" s="187"/>
      <c r="Q213" s="187"/>
      <c r="R213" s="187"/>
      <c r="S213" s="187"/>
      <c r="T213" s="187"/>
      <c r="U213" s="187"/>
      <c r="V213" s="188"/>
    </row>
    <row r="214" ht="15.75" customHeight="1">
      <c r="A214" s="65"/>
      <c r="B214" s="59"/>
      <c r="C214" s="65"/>
      <c r="D214" s="59"/>
      <c r="E214" s="65"/>
      <c r="F214" s="65"/>
      <c r="G214" s="65"/>
      <c r="H214" s="65"/>
      <c r="I214" s="65"/>
      <c r="J214" s="65"/>
      <c r="K214" s="65"/>
      <c r="L214" s="187"/>
      <c r="M214" s="187"/>
      <c r="N214" s="187"/>
      <c r="O214" s="187"/>
      <c r="P214" s="187"/>
      <c r="Q214" s="187"/>
      <c r="R214" s="187"/>
      <c r="S214" s="187"/>
      <c r="T214" s="187"/>
      <c r="U214" s="187"/>
      <c r="V214" s="188"/>
    </row>
    <row r="215" ht="15.75" customHeight="1">
      <c r="A215" s="65"/>
      <c r="B215" s="59"/>
      <c r="C215" s="65"/>
      <c r="D215" s="59"/>
      <c r="E215" s="65"/>
      <c r="F215" s="65"/>
      <c r="G215" s="65"/>
      <c r="H215" s="65"/>
      <c r="I215" s="65"/>
      <c r="J215" s="65"/>
      <c r="K215" s="65"/>
      <c r="L215" s="187"/>
      <c r="M215" s="187"/>
      <c r="N215" s="187"/>
      <c r="O215" s="187"/>
      <c r="P215" s="187"/>
      <c r="Q215" s="187"/>
      <c r="R215" s="187"/>
      <c r="S215" s="187"/>
      <c r="T215" s="187"/>
      <c r="U215" s="187"/>
      <c r="V215" s="188"/>
    </row>
    <row r="216" ht="15.75" customHeight="1">
      <c r="A216" s="65"/>
      <c r="B216" s="59"/>
      <c r="C216" s="65"/>
      <c r="D216" s="59"/>
      <c r="E216" s="65"/>
      <c r="F216" s="65"/>
      <c r="G216" s="65"/>
      <c r="H216" s="65"/>
      <c r="I216" s="65"/>
      <c r="J216" s="65"/>
      <c r="K216" s="65"/>
      <c r="L216" s="187"/>
      <c r="M216" s="187"/>
      <c r="N216" s="187"/>
      <c r="O216" s="187"/>
      <c r="P216" s="187"/>
      <c r="Q216" s="187"/>
      <c r="R216" s="187"/>
      <c r="S216" s="187"/>
      <c r="T216" s="187"/>
      <c r="U216" s="187"/>
      <c r="V216" s="188"/>
    </row>
    <row r="217" ht="15.75" customHeight="1">
      <c r="A217" s="65"/>
      <c r="B217" s="59"/>
      <c r="C217" s="65"/>
      <c r="D217" s="59"/>
      <c r="E217" s="65"/>
      <c r="F217" s="65"/>
      <c r="G217" s="65"/>
      <c r="H217" s="65"/>
      <c r="I217" s="65"/>
      <c r="J217" s="65"/>
      <c r="K217" s="65"/>
      <c r="L217" s="187"/>
      <c r="M217" s="187"/>
      <c r="N217" s="187"/>
      <c r="O217" s="187"/>
      <c r="P217" s="187"/>
      <c r="Q217" s="187"/>
      <c r="R217" s="187"/>
      <c r="S217" s="187"/>
      <c r="T217" s="187"/>
      <c r="U217" s="187"/>
      <c r="V217" s="188"/>
    </row>
    <row r="218" ht="15.75" customHeight="1">
      <c r="A218" s="65"/>
      <c r="B218" s="59"/>
      <c r="C218" s="65"/>
      <c r="D218" s="59"/>
      <c r="E218" s="65"/>
      <c r="F218" s="65"/>
      <c r="G218" s="65"/>
      <c r="H218" s="65"/>
      <c r="I218" s="65"/>
      <c r="J218" s="65"/>
      <c r="K218" s="65"/>
      <c r="L218" s="187"/>
      <c r="M218" s="187"/>
      <c r="N218" s="187"/>
      <c r="O218" s="187"/>
      <c r="P218" s="187"/>
      <c r="Q218" s="187"/>
      <c r="R218" s="187"/>
      <c r="S218" s="187"/>
      <c r="T218" s="187"/>
      <c r="U218" s="187"/>
      <c r="V218" s="188"/>
    </row>
    <row r="219" ht="15.75" customHeight="1">
      <c r="A219" s="65"/>
      <c r="B219" s="59"/>
      <c r="C219" s="65"/>
      <c r="D219" s="59"/>
      <c r="E219" s="65"/>
      <c r="F219" s="65"/>
      <c r="G219" s="65"/>
      <c r="H219" s="65"/>
      <c r="I219" s="65"/>
      <c r="J219" s="65"/>
      <c r="K219" s="65"/>
      <c r="L219" s="187"/>
      <c r="M219" s="187"/>
      <c r="N219" s="187"/>
      <c r="O219" s="187"/>
      <c r="P219" s="187"/>
      <c r="Q219" s="187"/>
      <c r="R219" s="187"/>
      <c r="S219" s="187"/>
      <c r="T219" s="187"/>
      <c r="U219" s="187"/>
      <c r="V219" s="188"/>
    </row>
    <row r="220" ht="15.75" customHeight="1">
      <c r="A220" s="65"/>
      <c r="B220" s="59"/>
      <c r="C220" s="65"/>
      <c r="D220" s="59"/>
      <c r="E220" s="65"/>
      <c r="F220" s="65"/>
      <c r="G220" s="65"/>
      <c r="H220" s="65"/>
      <c r="I220" s="65"/>
      <c r="J220" s="65"/>
      <c r="K220" s="65"/>
      <c r="L220" s="187"/>
      <c r="M220" s="187"/>
      <c r="N220" s="187"/>
      <c r="O220" s="187"/>
      <c r="P220" s="187"/>
      <c r="Q220" s="187"/>
      <c r="R220" s="187"/>
      <c r="S220" s="187"/>
      <c r="T220" s="187"/>
      <c r="U220" s="187"/>
      <c r="V220" s="188"/>
    </row>
    <row r="221" ht="15.75" customHeight="1">
      <c r="A221" s="65"/>
      <c r="B221" s="59"/>
      <c r="C221" s="65"/>
      <c r="D221" s="59"/>
      <c r="E221" s="65"/>
      <c r="F221" s="65"/>
      <c r="G221" s="65"/>
      <c r="H221" s="65"/>
      <c r="I221" s="65"/>
      <c r="J221" s="65"/>
      <c r="K221" s="65"/>
      <c r="L221" s="187"/>
      <c r="M221" s="187"/>
      <c r="N221" s="187"/>
      <c r="O221" s="187"/>
      <c r="P221" s="187"/>
      <c r="Q221" s="187"/>
      <c r="R221" s="187"/>
      <c r="S221" s="187"/>
      <c r="T221" s="187"/>
      <c r="U221" s="187"/>
      <c r="V221" s="188"/>
    </row>
    <row r="222" ht="15.75" customHeight="1">
      <c r="A222" s="65"/>
      <c r="B222" s="59"/>
      <c r="C222" s="65"/>
      <c r="D222" s="59"/>
      <c r="E222" s="65"/>
      <c r="F222" s="65"/>
      <c r="G222" s="65"/>
      <c r="H222" s="65"/>
      <c r="I222" s="65"/>
      <c r="J222" s="65"/>
      <c r="K222" s="65"/>
      <c r="L222" s="187"/>
      <c r="M222" s="187"/>
      <c r="N222" s="187"/>
      <c r="O222" s="187"/>
      <c r="P222" s="187"/>
      <c r="Q222" s="187"/>
      <c r="R222" s="187"/>
      <c r="S222" s="187"/>
      <c r="T222" s="187"/>
      <c r="U222" s="187"/>
      <c r="V222" s="188"/>
    </row>
    <row r="223" ht="15.75" customHeight="1">
      <c r="A223" s="65"/>
      <c r="B223" s="59"/>
      <c r="C223" s="65"/>
      <c r="D223" s="59"/>
      <c r="E223" s="65"/>
      <c r="F223" s="65"/>
      <c r="G223" s="65"/>
      <c r="H223" s="65"/>
      <c r="I223" s="65"/>
      <c r="J223" s="65"/>
      <c r="K223" s="65"/>
      <c r="L223" s="187"/>
      <c r="M223" s="187"/>
      <c r="N223" s="187"/>
      <c r="O223" s="187"/>
      <c r="P223" s="187"/>
      <c r="Q223" s="187"/>
      <c r="R223" s="187"/>
      <c r="S223" s="187"/>
      <c r="T223" s="187"/>
      <c r="U223" s="187"/>
      <c r="V223" s="188"/>
    </row>
    <row r="224" ht="15.75" customHeight="1">
      <c r="A224" s="65"/>
      <c r="B224" s="59"/>
      <c r="C224" s="65"/>
      <c r="D224" s="59"/>
      <c r="E224" s="65"/>
      <c r="F224" s="65"/>
      <c r="G224" s="65"/>
      <c r="H224" s="65"/>
      <c r="I224" s="65"/>
      <c r="J224" s="65"/>
      <c r="K224" s="65"/>
      <c r="L224" s="187"/>
      <c r="M224" s="187"/>
      <c r="N224" s="187"/>
      <c r="O224" s="187"/>
      <c r="P224" s="187"/>
      <c r="Q224" s="187"/>
      <c r="R224" s="187"/>
      <c r="S224" s="187"/>
      <c r="T224" s="187"/>
      <c r="U224" s="187"/>
      <c r="V224" s="188"/>
    </row>
    <row r="225" ht="15.75" customHeight="1">
      <c r="A225" s="65"/>
      <c r="B225" s="59"/>
      <c r="C225" s="65"/>
      <c r="D225" s="59"/>
      <c r="E225" s="65"/>
      <c r="F225" s="65"/>
      <c r="G225" s="65"/>
      <c r="H225" s="65"/>
      <c r="I225" s="65"/>
      <c r="J225" s="65"/>
    </row>
    <row r="226" ht="15.75" customHeight="1">
      <c r="A226" s="65"/>
      <c r="B226" s="59"/>
      <c r="C226" s="65"/>
      <c r="D226" s="59"/>
      <c r="E226" s="65"/>
      <c r="F226" s="65"/>
      <c r="G226" s="65"/>
      <c r="H226" s="65"/>
      <c r="I226" s="65"/>
      <c r="J226" s="65"/>
    </row>
    <row r="227" ht="15.75" customHeight="1">
      <c r="A227" s="65"/>
      <c r="B227" s="59"/>
      <c r="C227" s="65"/>
      <c r="D227" s="59"/>
      <c r="E227" s="65"/>
      <c r="F227" s="65"/>
      <c r="G227" s="65"/>
      <c r="H227" s="65"/>
      <c r="I227" s="65"/>
      <c r="J227" s="65"/>
    </row>
    <row r="228" ht="15.75" customHeight="1">
      <c r="A228" s="65"/>
      <c r="B228" s="59"/>
      <c r="C228" s="65"/>
      <c r="D228" s="59"/>
      <c r="E228" s="65"/>
      <c r="F228" s="65"/>
      <c r="G228" s="65"/>
      <c r="H228" s="65"/>
      <c r="I228" s="65"/>
      <c r="J228" s="65"/>
    </row>
    <row r="229" ht="15.75" customHeight="1">
      <c r="A229" s="65"/>
      <c r="B229" s="59"/>
      <c r="C229" s="65"/>
      <c r="D229" s="59"/>
      <c r="E229" s="65"/>
      <c r="F229" s="65"/>
      <c r="G229" s="65"/>
      <c r="H229" s="65"/>
      <c r="I229" s="65"/>
      <c r="J229" s="65"/>
    </row>
    <row r="230" ht="15.75" customHeight="1">
      <c r="A230" s="65"/>
      <c r="B230" s="59"/>
      <c r="C230" s="65"/>
      <c r="D230" s="59"/>
      <c r="E230" s="65"/>
      <c r="F230" s="65"/>
      <c r="G230" s="65"/>
      <c r="H230" s="65"/>
      <c r="I230" s="65"/>
      <c r="J230" s="65"/>
    </row>
    <row r="231" ht="15.75" customHeight="1">
      <c r="A231" s="65"/>
      <c r="B231" s="59"/>
      <c r="C231" s="65"/>
      <c r="D231" s="59"/>
      <c r="E231" s="65"/>
      <c r="F231" s="65"/>
      <c r="G231" s="65"/>
      <c r="H231" s="65"/>
      <c r="I231" s="65"/>
      <c r="J231" s="65"/>
    </row>
    <row r="232" ht="15.75" customHeight="1">
      <c r="A232" s="65"/>
      <c r="B232" s="59"/>
      <c r="C232" s="65"/>
      <c r="D232" s="59"/>
      <c r="E232" s="65"/>
      <c r="F232" s="65"/>
      <c r="G232" s="65"/>
      <c r="H232" s="65"/>
      <c r="I232" s="65"/>
      <c r="J232" s="65"/>
    </row>
    <row r="233" ht="15.75" customHeight="1">
      <c r="A233" s="65"/>
      <c r="B233" s="59"/>
      <c r="C233" s="65"/>
      <c r="D233" s="59"/>
      <c r="E233" s="65"/>
      <c r="F233" s="65"/>
      <c r="G233" s="65"/>
      <c r="H233" s="65"/>
      <c r="I233" s="65"/>
      <c r="J233" s="65"/>
    </row>
    <row r="234" ht="15.75" customHeight="1">
      <c r="A234" s="65"/>
      <c r="B234" s="59"/>
      <c r="C234" s="65"/>
      <c r="D234" s="59"/>
      <c r="E234" s="65"/>
      <c r="F234" s="65"/>
      <c r="G234" s="65"/>
      <c r="H234" s="65"/>
      <c r="I234" s="65"/>
      <c r="J234" s="65"/>
    </row>
    <row r="235" ht="15.75" customHeight="1">
      <c r="A235" s="65"/>
      <c r="B235" s="59"/>
      <c r="C235" s="65"/>
      <c r="D235" s="59"/>
      <c r="E235" s="65"/>
      <c r="F235" s="65"/>
      <c r="G235" s="65"/>
      <c r="H235" s="65"/>
      <c r="I235" s="65"/>
      <c r="J235" s="65"/>
    </row>
    <row r="236" ht="15.75" customHeight="1">
      <c r="A236" s="65"/>
      <c r="B236" s="59"/>
      <c r="C236" s="65"/>
      <c r="D236" s="59"/>
      <c r="E236" s="65"/>
      <c r="F236" s="65"/>
      <c r="G236" s="65"/>
      <c r="H236" s="65"/>
      <c r="I236" s="65"/>
      <c r="J236" s="65"/>
    </row>
    <row r="237" ht="15.75" customHeight="1">
      <c r="A237" s="65"/>
      <c r="B237" s="59"/>
      <c r="C237" s="65"/>
      <c r="D237" s="59"/>
      <c r="E237" s="65"/>
      <c r="F237" s="65"/>
      <c r="G237" s="65"/>
      <c r="H237" s="65"/>
      <c r="I237" s="65"/>
      <c r="J237" s="65"/>
    </row>
    <row r="238" ht="15.75" customHeight="1">
      <c r="A238" s="65"/>
      <c r="B238" s="59"/>
      <c r="C238" s="65"/>
      <c r="D238" s="59"/>
      <c r="E238" s="65"/>
      <c r="F238" s="65"/>
      <c r="G238" s="65"/>
      <c r="H238" s="65"/>
      <c r="I238" s="65"/>
      <c r="J238" s="65"/>
    </row>
    <row r="239" ht="15.75" customHeight="1">
      <c r="A239" s="65"/>
      <c r="B239" s="59"/>
      <c r="C239" s="65"/>
      <c r="D239" s="59"/>
      <c r="E239" s="65"/>
      <c r="F239" s="65"/>
      <c r="G239" s="65"/>
      <c r="H239" s="65"/>
      <c r="I239" s="65"/>
      <c r="J239" s="65"/>
    </row>
    <row r="240" ht="15.75" customHeight="1">
      <c r="A240" s="65"/>
      <c r="B240" s="59"/>
      <c r="C240" s="65"/>
      <c r="D240" s="59"/>
      <c r="E240" s="65"/>
      <c r="F240" s="65"/>
      <c r="G240" s="65"/>
      <c r="H240" s="65"/>
      <c r="I240" s="65"/>
      <c r="J240" s="65"/>
    </row>
    <row r="241" ht="15.75" customHeight="1">
      <c r="A241" s="65"/>
      <c r="B241" s="59"/>
      <c r="C241" s="65"/>
      <c r="D241" s="59"/>
      <c r="E241" s="65"/>
      <c r="F241" s="65"/>
      <c r="G241" s="65"/>
      <c r="H241" s="65"/>
      <c r="I241" s="65"/>
      <c r="J241" s="65"/>
    </row>
    <row r="242" ht="15.75" customHeight="1">
      <c r="A242" s="65"/>
      <c r="B242" s="59"/>
      <c r="C242" s="65"/>
      <c r="D242" s="59"/>
      <c r="E242" s="65"/>
      <c r="F242" s="65"/>
      <c r="G242" s="65"/>
      <c r="H242" s="65"/>
      <c r="I242" s="65"/>
      <c r="J242" s="65"/>
    </row>
    <row r="243" ht="15.75" customHeight="1">
      <c r="A243" s="65"/>
      <c r="B243" s="59"/>
      <c r="C243" s="65"/>
      <c r="D243" s="59"/>
      <c r="E243" s="65"/>
      <c r="F243" s="65"/>
      <c r="G243" s="65"/>
      <c r="H243" s="65"/>
      <c r="I243" s="65"/>
      <c r="J243" s="65"/>
    </row>
    <row r="244" ht="15.75" customHeight="1">
      <c r="A244" s="65"/>
      <c r="B244" s="59"/>
      <c r="C244" s="65"/>
      <c r="D244" s="59"/>
      <c r="E244" s="65"/>
      <c r="F244" s="65"/>
      <c r="G244" s="65"/>
      <c r="H244" s="65"/>
      <c r="I244" s="65"/>
      <c r="J244" s="65"/>
    </row>
    <row r="245" ht="15.75" customHeight="1">
      <c r="A245" s="65"/>
      <c r="B245" s="59"/>
      <c r="C245" s="65"/>
      <c r="D245" s="59"/>
      <c r="E245" s="65"/>
      <c r="F245" s="65"/>
      <c r="G245" s="65"/>
      <c r="H245" s="65"/>
      <c r="I245" s="65"/>
      <c r="J245" s="65"/>
    </row>
    <row r="246" ht="15.75" customHeight="1">
      <c r="A246" s="65"/>
      <c r="B246" s="59"/>
      <c r="C246" s="65"/>
      <c r="D246" s="59"/>
      <c r="E246" s="65"/>
      <c r="F246" s="65"/>
      <c r="G246" s="65"/>
      <c r="H246" s="65"/>
      <c r="I246" s="65"/>
      <c r="J246" s="65"/>
    </row>
    <row r="247" ht="15.75" customHeight="1">
      <c r="A247" s="65"/>
      <c r="B247" s="59"/>
      <c r="C247" s="65"/>
      <c r="D247" s="59"/>
      <c r="E247" s="65"/>
      <c r="F247" s="65"/>
      <c r="G247" s="65"/>
      <c r="H247" s="65"/>
      <c r="I247" s="65"/>
      <c r="J247" s="65"/>
    </row>
    <row r="248" ht="15.75" customHeight="1">
      <c r="A248" s="65"/>
      <c r="B248" s="59"/>
      <c r="C248" s="65"/>
      <c r="D248" s="59"/>
      <c r="E248" s="65"/>
      <c r="F248" s="65"/>
      <c r="G248" s="65"/>
      <c r="H248" s="65"/>
      <c r="I248" s="65"/>
      <c r="J248" s="65"/>
    </row>
    <row r="249" ht="15.75" customHeight="1">
      <c r="A249" s="65"/>
      <c r="B249" s="59"/>
      <c r="C249" s="65"/>
      <c r="D249" s="59"/>
      <c r="E249" s="65"/>
      <c r="F249" s="65"/>
      <c r="G249" s="65"/>
      <c r="H249" s="65"/>
      <c r="I249" s="65"/>
      <c r="J249" s="65"/>
    </row>
    <row r="250" ht="15.75" customHeight="1">
      <c r="A250" s="65"/>
      <c r="B250" s="59"/>
      <c r="C250" s="65"/>
      <c r="D250" s="59"/>
      <c r="E250" s="65"/>
      <c r="F250" s="65"/>
      <c r="G250" s="65"/>
      <c r="H250" s="65"/>
      <c r="I250" s="65"/>
      <c r="J250" s="65"/>
    </row>
    <row r="251" ht="15.75" customHeight="1">
      <c r="A251" s="65"/>
      <c r="B251" s="59"/>
      <c r="C251" s="65"/>
      <c r="D251" s="59"/>
      <c r="E251" s="65"/>
      <c r="F251" s="65"/>
      <c r="G251" s="65"/>
      <c r="H251" s="65"/>
      <c r="I251" s="65"/>
      <c r="J251" s="65"/>
    </row>
    <row r="252" ht="15.75" customHeight="1">
      <c r="A252" s="65"/>
      <c r="B252" s="59"/>
      <c r="C252" s="65"/>
      <c r="D252" s="59"/>
      <c r="E252" s="65"/>
      <c r="F252" s="65"/>
      <c r="G252" s="65"/>
      <c r="H252" s="65"/>
      <c r="I252" s="65"/>
      <c r="J252" s="65"/>
    </row>
    <row r="253" ht="15.75" customHeight="1">
      <c r="A253" s="65"/>
      <c r="B253" s="59"/>
      <c r="C253" s="65"/>
      <c r="D253" s="59"/>
      <c r="E253" s="65"/>
      <c r="F253" s="65"/>
      <c r="G253" s="65"/>
      <c r="H253" s="65"/>
      <c r="I253" s="65"/>
      <c r="J253" s="65"/>
    </row>
    <row r="254" ht="15.75" customHeight="1">
      <c r="A254" s="65"/>
      <c r="B254" s="59"/>
      <c r="C254" s="65"/>
      <c r="D254" s="59"/>
      <c r="E254" s="65"/>
      <c r="F254" s="65"/>
      <c r="G254" s="65"/>
      <c r="H254" s="65"/>
      <c r="I254" s="65"/>
      <c r="J254" s="65"/>
    </row>
    <row r="255" ht="15.75" customHeight="1">
      <c r="A255" s="65"/>
      <c r="B255" s="59"/>
      <c r="C255" s="65"/>
      <c r="D255" s="59"/>
      <c r="E255" s="65"/>
      <c r="F255" s="65"/>
      <c r="G255" s="65"/>
      <c r="H255" s="65"/>
      <c r="I255" s="65"/>
      <c r="J255" s="65"/>
    </row>
    <row r="256" ht="15.75" customHeight="1">
      <c r="A256" s="65"/>
      <c r="B256" s="59"/>
      <c r="C256" s="65"/>
      <c r="D256" s="59"/>
      <c r="E256" s="65"/>
      <c r="F256" s="65"/>
      <c r="G256" s="65"/>
      <c r="H256" s="65"/>
      <c r="I256" s="65"/>
      <c r="J256" s="65"/>
    </row>
    <row r="257" ht="15.75" customHeight="1">
      <c r="A257" s="65"/>
      <c r="B257" s="59"/>
      <c r="C257" s="65"/>
      <c r="D257" s="211"/>
    </row>
    <row r="258" ht="15.75" customHeight="1">
      <c r="A258" s="65"/>
      <c r="B258" s="59"/>
      <c r="C258" s="65"/>
      <c r="D258" s="211"/>
    </row>
    <row r="259" ht="15.75" customHeight="1">
      <c r="A259" s="65"/>
      <c r="B259" s="59"/>
      <c r="C259" s="65"/>
      <c r="D259" s="211"/>
    </row>
    <row r="260" ht="15.75" customHeight="1">
      <c r="A260" s="127"/>
      <c r="B260" s="211"/>
      <c r="D260" s="211"/>
    </row>
    <row r="261" ht="15.75" customHeight="1">
      <c r="A261" s="127"/>
      <c r="B261" s="211"/>
      <c r="D261" s="211"/>
    </row>
    <row r="262" ht="15.75" customHeight="1">
      <c r="A262" s="127"/>
      <c r="B262" s="211"/>
      <c r="D262" s="211"/>
    </row>
    <row r="263" ht="15.75" customHeight="1">
      <c r="A263" s="127"/>
      <c r="B263" s="211"/>
      <c r="D263" s="211"/>
    </row>
    <row r="264" ht="15.75" customHeight="1">
      <c r="A264" s="127"/>
      <c r="B264" s="211"/>
      <c r="D264" s="211"/>
    </row>
    <row r="265" ht="15.75" customHeight="1">
      <c r="A265" s="127"/>
      <c r="B265" s="211"/>
      <c r="D265" s="211"/>
    </row>
    <row r="266" ht="15.75" customHeight="1">
      <c r="A266" s="127"/>
      <c r="B266" s="211"/>
      <c r="D266" s="211"/>
    </row>
    <row r="267" ht="15.75" customHeight="1">
      <c r="A267" s="127"/>
      <c r="B267" s="211"/>
      <c r="D267" s="211"/>
    </row>
    <row r="268" ht="15.75" customHeight="1">
      <c r="A268" s="127"/>
      <c r="B268" s="211"/>
      <c r="D268" s="211"/>
    </row>
    <row r="269" ht="15.75" customHeight="1">
      <c r="A269" s="127"/>
      <c r="B269" s="211"/>
      <c r="D269" s="211"/>
    </row>
    <row r="270" ht="15.75" customHeight="1">
      <c r="A270" s="127"/>
      <c r="B270" s="211"/>
      <c r="D270" s="211"/>
    </row>
    <row r="271" ht="15.75" customHeight="1">
      <c r="A271" s="127"/>
      <c r="B271" s="211"/>
      <c r="D271" s="211"/>
    </row>
    <row r="272" ht="15.75" customHeight="1">
      <c r="A272" s="127"/>
      <c r="B272" s="211"/>
      <c r="D272" s="211"/>
    </row>
    <row r="273" ht="15.75" customHeight="1">
      <c r="A273" s="127"/>
      <c r="B273" s="211"/>
      <c r="D273" s="211"/>
    </row>
    <row r="274" ht="15.75" customHeight="1">
      <c r="A274" s="127"/>
      <c r="B274" s="211"/>
      <c r="D274" s="211"/>
    </row>
    <row r="275" ht="15.75" customHeight="1">
      <c r="A275" s="127"/>
      <c r="B275" s="211"/>
      <c r="D275" s="211"/>
    </row>
    <row r="276" ht="15.75" customHeight="1">
      <c r="A276" s="127"/>
      <c r="B276" s="211"/>
      <c r="D276" s="211"/>
    </row>
    <row r="277" ht="15.75" customHeight="1">
      <c r="A277" s="127"/>
      <c r="B277" s="211"/>
      <c r="D277" s="211"/>
    </row>
    <row r="278" ht="15.75" customHeight="1">
      <c r="A278" s="127"/>
      <c r="B278" s="211"/>
      <c r="D278" s="211"/>
    </row>
    <row r="279" ht="15.75" customHeight="1">
      <c r="A279" s="127"/>
      <c r="B279" s="211"/>
      <c r="D279" s="211"/>
    </row>
    <row r="280" ht="15.75" customHeight="1">
      <c r="A280" s="127"/>
      <c r="B280" s="211"/>
      <c r="D280" s="211"/>
    </row>
    <row r="281" ht="15.75" customHeight="1">
      <c r="A281" s="127"/>
      <c r="B281" s="211"/>
      <c r="D281" s="211"/>
    </row>
    <row r="282" ht="15.75" customHeight="1">
      <c r="A282" s="127"/>
      <c r="B282" s="211"/>
      <c r="D282" s="211"/>
    </row>
    <row r="283" ht="15.75" customHeight="1">
      <c r="A283" s="127"/>
      <c r="B283" s="211"/>
      <c r="D283" s="211"/>
    </row>
    <row r="284" ht="15.75" customHeight="1">
      <c r="A284" s="127"/>
      <c r="B284" s="211"/>
      <c r="D284" s="211"/>
    </row>
    <row r="285" ht="15.75" customHeight="1">
      <c r="A285" s="127"/>
      <c r="B285" s="211"/>
      <c r="D285" s="211"/>
    </row>
    <row r="286" ht="15.75" customHeight="1">
      <c r="A286" s="127"/>
      <c r="B286" s="211"/>
      <c r="D286" s="211"/>
    </row>
    <row r="287" ht="15.75" customHeight="1">
      <c r="A287" s="127"/>
      <c r="B287" s="211"/>
      <c r="D287" s="211"/>
    </row>
    <row r="288" ht="15.75" customHeight="1">
      <c r="A288" s="127"/>
      <c r="B288" s="211"/>
      <c r="D288" s="211"/>
    </row>
    <row r="289" ht="15.75" customHeight="1">
      <c r="A289" s="127"/>
      <c r="B289" s="211"/>
      <c r="D289" s="211"/>
    </row>
    <row r="290" ht="15.75" customHeight="1">
      <c r="A290" s="127"/>
      <c r="B290" s="211"/>
      <c r="D290" s="211"/>
    </row>
    <row r="291" ht="15.75" customHeight="1">
      <c r="A291" s="127"/>
      <c r="B291" s="211"/>
      <c r="D291" s="211"/>
    </row>
    <row r="292" ht="15.75" customHeight="1">
      <c r="A292" s="127"/>
      <c r="B292" s="211"/>
      <c r="D292" s="211"/>
    </row>
    <row r="293" ht="15.75" customHeight="1">
      <c r="A293" s="127"/>
      <c r="B293" s="211"/>
      <c r="D293" s="211"/>
    </row>
    <row r="294" ht="15.75" customHeight="1">
      <c r="A294" s="127"/>
      <c r="B294" s="211"/>
      <c r="D294" s="211"/>
    </row>
    <row r="295" ht="15.75" customHeight="1">
      <c r="A295" s="127"/>
      <c r="B295" s="211"/>
      <c r="D295" s="211"/>
    </row>
    <row r="296" ht="15.75" customHeight="1">
      <c r="A296" s="127"/>
      <c r="B296" s="211"/>
      <c r="D296" s="211"/>
    </row>
    <row r="297" ht="15.75" customHeight="1">
      <c r="A297" s="127"/>
      <c r="B297" s="211"/>
      <c r="D297" s="211"/>
    </row>
    <row r="298" ht="15.75" customHeight="1">
      <c r="A298" s="127"/>
      <c r="B298" s="211"/>
      <c r="D298" s="211"/>
    </row>
    <row r="299" ht="15.75" customHeight="1">
      <c r="A299" s="127"/>
      <c r="B299" s="211"/>
      <c r="D299" s="211"/>
    </row>
    <row r="300" ht="15.75" customHeight="1">
      <c r="A300" s="127"/>
      <c r="B300" s="211"/>
      <c r="D300" s="211"/>
    </row>
    <row r="301" ht="15.75" customHeight="1">
      <c r="A301" s="127"/>
      <c r="B301" s="211"/>
      <c r="D301" s="211"/>
    </row>
    <row r="302" ht="15.75" customHeight="1">
      <c r="A302" s="127"/>
      <c r="B302" s="211"/>
      <c r="D302" s="211"/>
    </row>
    <row r="303" ht="15.75" customHeight="1">
      <c r="A303" s="127"/>
      <c r="B303" s="211"/>
      <c r="D303" s="211"/>
    </row>
    <row r="304" ht="15.75" customHeight="1">
      <c r="A304" s="127"/>
      <c r="B304" s="211"/>
      <c r="D304" s="211"/>
    </row>
    <row r="305" ht="15.75" customHeight="1">
      <c r="A305" s="127"/>
      <c r="B305" s="211"/>
      <c r="D305" s="211"/>
    </row>
    <row r="306" ht="15.75" customHeight="1">
      <c r="A306" s="127"/>
      <c r="B306" s="211"/>
      <c r="D306" s="211"/>
    </row>
    <row r="307" ht="15.75" customHeight="1">
      <c r="A307" s="127"/>
      <c r="B307" s="211"/>
      <c r="D307" s="211"/>
    </row>
    <row r="308" ht="15.75" customHeight="1">
      <c r="A308" s="127"/>
      <c r="B308" s="211"/>
      <c r="D308" s="211"/>
    </row>
    <row r="309" ht="15.75" customHeight="1">
      <c r="A309" s="127"/>
      <c r="B309" s="211"/>
      <c r="D309" s="211"/>
    </row>
    <row r="310" ht="15.75" customHeight="1">
      <c r="A310" s="127"/>
      <c r="B310" s="211"/>
      <c r="D310" s="211"/>
    </row>
    <row r="311" ht="15.75" customHeight="1">
      <c r="A311" s="127"/>
      <c r="B311" s="211"/>
      <c r="D311" s="211"/>
    </row>
    <row r="312" ht="15.75" customHeight="1">
      <c r="A312" s="127"/>
      <c r="B312" s="211"/>
      <c r="D312" s="211"/>
    </row>
    <row r="313" ht="15.75" customHeight="1">
      <c r="A313" s="127"/>
      <c r="B313" s="211"/>
      <c r="D313" s="211"/>
    </row>
    <row r="314" ht="15.75" customHeight="1">
      <c r="A314" s="127"/>
      <c r="B314" s="211"/>
      <c r="D314" s="211"/>
    </row>
    <row r="315" ht="15.75" customHeight="1">
      <c r="A315" s="127"/>
      <c r="B315" s="211"/>
      <c r="D315" s="211"/>
    </row>
    <row r="316" ht="15.75" customHeight="1">
      <c r="A316" s="127"/>
      <c r="B316" s="211"/>
      <c r="D316" s="211"/>
    </row>
    <row r="317" ht="15.75" customHeight="1">
      <c r="A317" s="127"/>
      <c r="B317" s="211"/>
      <c r="D317" s="211"/>
    </row>
    <row r="318" ht="15.75" customHeight="1">
      <c r="A318" s="127"/>
      <c r="B318" s="211"/>
      <c r="D318" s="211"/>
    </row>
    <row r="319" ht="15.75" customHeight="1">
      <c r="A319" s="127"/>
      <c r="B319" s="211"/>
      <c r="D319" s="211"/>
    </row>
    <row r="320" ht="15.75" customHeight="1">
      <c r="A320" s="127"/>
      <c r="B320" s="211"/>
      <c r="D320" s="211"/>
    </row>
    <row r="321" ht="15.75" customHeight="1">
      <c r="A321" s="127"/>
      <c r="B321" s="211"/>
      <c r="D321" s="211"/>
    </row>
    <row r="322" ht="15.75" customHeight="1">
      <c r="A322" s="127"/>
      <c r="B322" s="211"/>
      <c r="D322" s="211"/>
    </row>
    <row r="323" ht="15.75" customHeight="1">
      <c r="A323" s="127"/>
      <c r="B323" s="211"/>
      <c r="D323" s="211"/>
    </row>
    <row r="324" ht="15.75" customHeight="1">
      <c r="A324" s="127"/>
      <c r="B324" s="211"/>
      <c r="D324" s="211"/>
    </row>
    <row r="325" ht="15.75" customHeight="1">
      <c r="A325" s="127"/>
      <c r="B325" s="211"/>
      <c r="D325" s="211"/>
    </row>
    <row r="326" ht="15.75" customHeight="1">
      <c r="A326" s="127"/>
      <c r="B326" s="211"/>
      <c r="D326" s="211"/>
    </row>
    <row r="327" ht="15.75" customHeight="1">
      <c r="A327" s="127"/>
      <c r="B327" s="211"/>
      <c r="D327" s="211"/>
    </row>
    <row r="328" ht="15.75" customHeight="1">
      <c r="A328" s="127"/>
      <c r="B328" s="211"/>
      <c r="D328" s="211"/>
    </row>
    <row r="329" ht="15.75" customHeight="1">
      <c r="A329" s="127"/>
      <c r="B329" s="211"/>
      <c r="D329" s="211"/>
    </row>
    <row r="330" ht="15.75" customHeight="1">
      <c r="A330" s="127"/>
      <c r="B330" s="211"/>
      <c r="D330" s="211"/>
    </row>
    <row r="331" ht="15.75" customHeight="1">
      <c r="A331" s="127"/>
      <c r="B331" s="211"/>
      <c r="D331" s="211"/>
    </row>
    <row r="332" ht="15.75" customHeight="1">
      <c r="A332" s="127"/>
      <c r="B332" s="211"/>
      <c r="D332" s="211"/>
    </row>
    <row r="333" ht="15.75" customHeight="1">
      <c r="A333" s="127"/>
      <c r="B333" s="211"/>
      <c r="D333" s="211"/>
    </row>
    <row r="334" ht="15.75" customHeight="1">
      <c r="A334" s="127"/>
      <c r="B334" s="211"/>
      <c r="D334" s="211"/>
    </row>
    <row r="335" ht="15.75" customHeight="1">
      <c r="A335" s="127"/>
      <c r="B335" s="211"/>
      <c r="D335" s="211"/>
    </row>
    <row r="336" ht="15.75" customHeight="1">
      <c r="A336" s="127"/>
      <c r="B336" s="211"/>
      <c r="D336" s="211"/>
    </row>
    <row r="337" ht="15.75" customHeight="1">
      <c r="A337" s="127"/>
      <c r="B337" s="211"/>
      <c r="D337" s="211"/>
    </row>
    <row r="338" ht="15.75" customHeight="1">
      <c r="A338" s="127"/>
      <c r="B338" s="211"/>
      <c r="D338" s="211"/>
    </row>
    <row r="339" ht="15.75" customHeight="1">
      <c r="A339" s="127"/>
      <c r="B339" s="211"/>
      <c r="D339" s="211"/>
    </row>
    <row r="340" ht="15.75" customHeight="1">
      <c r="A340" s="127"/>
      <c r="B340" s="211"/>
      <c r="D340" s="211"/>
    </row>
    <row r="341" ht="15.75" customHeight="1">
      <c r="A341" s="127"/>
      <c r="B341" s="211"/>
      <c r="D341" s="211"/>
    </row>
    <row r="342" ht="15.75" customHeight="1">
      <c r="A342" s="127"/>
      <c r="B342" s="211"/>
      <c r="D342" s="211"/>
    </row>
    <row r="343" ht="15.75" customHeight="1">
      <c r="A343" s="127"/>
      <c r="B343" s="211"/>
      <c r="D343" s="211"/>
    </row>
    <row r="344" ht="15.75" customHeight="1">
      <c r="A344" s="127"/>
      <c r="B344" s="211"/>
      <c r="D344" s="211"/>
    </row>
    <row r="345" ht="15.75" customHeight="1">
      <c r="A345" s="127"/>
      <c r="B345" s="211"/>
      <c r="D345" s="211"/>
    </row>
    <row r="346" ht="15.75" customHeight="1">
      <c r="A346" s="127"/>
      <c r="B346" s="211"/>
      <c r="D346" s="211"/>
    </row>
    <row r="347" ht="15.75" customHeight="1">
      <c r="A347" s="127"/>
      <c r="B347" s="211"/>
      <c r="D347" s="211"/>
    </row>
    <row r="348" ht="15.75" customHeight="1">
      <c r="A348" s="127"/>
      <c r="B348" s="211"/>
      <c r="D348" s="211"/>
    </row>
    <row r="349" ht="15.75" customHeight="1">
      <c r="A349" s="127"/>
      <c r="B349" s="211"/>
      <c r="D349" s="211"/>
    </row>
    <row r="350" ht="15.75" customHeight="1">
      <c r="A350" s="127"/>
      <c r="B350" s="211"/>
      <c r="D350" s="211"/>
    </row>
    <row r="351" ht="15.75" customHeight="1">
      <c r="A351" s="127"/>
      <c r="B351" s="211"/>
      <c r="D351" s="211"/>
    </row>
    <row r="352" ht="15.75" customHeight="1">
      <c r="A352" s="127"/>
      <c r="B352" s="211"/>
      <c r="D352" s="211"/>
    </row>
    <row r="353" ht="15.75" customHeight="1">
      <c r="A353" s="127"/>
      <c r="B353" s="211"/>
      <c r="D353" s="211"/>
    </row>
    <row r="354" ht="15.75" customHeight="1">
      <c r="A354" s="127"/>
      <c r="B354" s="211"/>
      <c r="D354" s="211"/>
    </row>
    <row r="355" ht="15.75" customHeight="1">
      <c r="A355" s="127"/>
      <c r="B355" s="211"/>
      <c r="D355" s="211"/>
    </row>
    <row r="356" ht="15.75" customHeight="1">
      <c r="A356" s="127"/>
      <c r="B356" s="211"/>
      <c r="D356" s="211"/>
    </row>
    <row r="357" ht="15.75" customHeight="1">
      <c r="A357" s="127"/>
      <c r="B357" s="211"/>
      <c r="D357" s="211"/>
    </row>
    <row r="358" ht="15.75" customHeight="1">
      <c r="A358" s="127"/>
      <c r="B358" s="211"/>
      <c r="D358" s="211"/>
    </row>
    <row r="359" ht="15.75" customHeight="1">
      <c r="A359" s="127"/>
      <c r="B359" s="211"/>
      <c r="D359" s="211"/>
    </row>
    <row r="360" ht="15.75" customHeight="1">
      <c r="A360" s="127"/>
      <c r="B360" s="211"/>
      <c r="D360" s="211"/>
    </row>
    <row r="361" ht="15.75" customHeight="1">
      <c r="A361" s="127"/>
      <c r="B361" s="211"/>
      <c r="D361" s="211"/>
    </row>
    <row r="362" ht="15.75" customHeight="1">
      <c r="A362" s="127"/>
      <c r="B362" s="211"/>
      <c r="D362" s="211"/>
    </row>
    <row r="363" ht="15.75" customHeight="1">
      <c r="A363" s="127"/>
      <c r="B363" s="211"/>
      <c r="D363" s="211"/>
    </row>
    <row r="364" ht="15.75" customHeight="1">
      <c r="A364" s="127"/>
      <c r="B364" s="211"/>
      <c r="D364" s="211"/>
    </row>
    <row r="365" ht="15.75" customHeight="1">
      <c r="A365" s="127"/>
      <c r="B365" s="211"/>
      <c r="D365" s="211"/>
    </row>
    <row r="366" ht="15.75" customHeight="1">
      <c r="A366" s="127"/>
      <c r="B366" s="211"/>
      <c r="D366" s="211"/>
    </row>
    <row r="367" ht="15.75" customHeight="1">
      <c r="A367" s="127"/>
      <c r="B367" s="211"/>
      <c r="D367" s="211"/>
    </row>
    <row r="368" ht="15.75" customHeight="1">
      <c r="A368" s="127"/>
      <c r="B368" s="211"/>
      <c r="D368" s="211"/>
    </row>
    <row r="369" ht="15.75" customHeight="1">
      <c r="A369" s="127"/>
      <c r="B369" s="211"/>
      <c r="D369" s="211"/>
    </row>
    <row r="370" ht="15.75" customHeight="1">
      <c r="A370" s="127"/>
      <c r="B370" s="211"/>
      <c r="D370" s="211"/>
    </row>
    <row r="371" ht="15.75" customHeight="1">
      <c r="A371" s="127"/>
      <c r="B371" s="211"/>
      <c r="D371" s="211"/>
    </row>
    <row r="372" ht="15.75" customHeight="1">
      <c r="A372" s="127"/>
      <c r="B372" s="211"/>
      <c r="D372" s="211"/>
    </row>
    <row r="373" ht="15.75" customHeight="1">
      <c r="A373" s="127"/>
      <c r="B373" s="211"/>
      <c r="D373" s="211"/>
    </row>
    <row r="374" ht="15.75" customHeight="1">
      <c r="A374" s="127"/>
      <c r="B374" s="211"/>
      <c r="D374" s="211"/>
    </row>
    <row r="375" ht="15.75" customHeight="1">
      <c r="A375" s="127"/>
      <c r="B375" s="211"/>
      <c r="D375" s="211"/>
    </row>
    <row r="376" ht="15.75" customHeight="1">
      <c r="A376" s="127"/>
      <c r="B376" s="211"/>
      <c r="D376" s="211"/>
    </row>
    <row r="377" ht="15.75" customHeight="1">
      <c r="A377" s="127"/>
      <c r="B377" s="211"/>
      <c r="D377" s="211"/>
    </row>
    <row r="378" ht="15.75" customHeight="1">
      <c r="A378" s="127"/>
      <c r="B378" s="211"/>
      <c r="D378" s="211"/>
    </row>
    <row r="379" ht="15.75" customHeight="1">
      <c r="A379" s="127"/>
      <c r="B379" s="211"/>
      <c r="D379" s="211"/>
    </row>
    <row r="380" ht="15.75" customHeight="1">
      <c r="A380" s="127"/>
      <c r="B380" s="211"/>
      <c r="D380" s="211"/>
    </row>
    <row r="381" ht="15.75" customHeight="1">
      <c r="A381" s="127"/>
      <c r="B381" s="211"/>
      <c r="D381" s="211"/>
    </row>
    <row r="382" ht="15.75" customHeight="1">
      <c r="A382" s="127"/>
      <c r="B382" s="211"/>
      <c r="D382" s="211"/>
    </row>
    <row r="383" ht="15.75" customHeight="1">
      <c r="A383" s="127"/>
      <c r="B383" s="211"/>
      <c r="D383" s="211"/>
    </row>
    <row r="384" ht="15.75" customHeight="1">
      <c r="A384" s="127"/>
      <c r="B384" s="211"/>
      <c r="D384" s="211"/>
    </row>
    <row r="385" ht="15.75" customHeight="1">
      <c r="A385" s="127"/>
      <c r="B385" s="211"/>
      <c r="D385" s="211"/>
    </row>
    <row r="386" ht="15.75" customHeight="1">
      <c r="A386" s="127"/>
      <c r="B386" s="211"/>
      <c r="D386" s="211"/>
    </row>
    <row r="387" ht="15.75" customHeight="1">
      <c r="A387" s="127"/>
      <c r="B387" s="211"/>
      <c r="D387" s="211"/>
    </row>
    <row r="388" ht="15.75" customHeight="1">
      <c r="A388" s="127"/>
      <c r="B388" s="211"/>
      <c r="D388" s="211"/>
    </row>
    <row r="389" ht="15.75" customHeight="1">
      <c r="A389" s="127"/>
      <c r="B389" s="211"/>
      <c r="D389" s="211"/>
    </row>
    <row r="390" ht="15.75" customHeight="1">
      <c r="A390" s="127"/>
      <c r="B390" s="211"/>
      <c r="D390" s="211"/>
    </row>
    <row r="391" ht="15.75" customHeight="1">
      <c r="A391" s="127"/>
      <c r="B391" s="211"/>
      <c r="D391" s="211"/>
    </row>
    <row r="392" ht="15.75" customHeight="1">
      <c r="A392" s="127"/>
      <c r="B392" s="211"/>
      <c r="D392" s="211"/>
    </row>
    <row r="393" ht="15.75" customHeight="1">
      <c r="A393" s="127"/>
      <c r="B393" s="211"/>
      <c r="D393" s="211"/>
    </row>
    <row r="394" ht="15.75" customHeight="1">
      <c r="A394" s="127"/>
      <c r="B394" s="211"/>
      <c r="D394" s="211"/>
    </row>
    <row r="395" ht="15.75" customHeight="1">
      <c r="A395" s="127"/>
      <c r="B395" s="211"/>
      <c r="D395" s="211"/>
    </row>
    <row r="396" ht="15.75" customHeight="1">
      <c r="A396" s="127"/>
      <c r="B396" s="211"/>
      <c r="D396" s="211"/>
    </row>
    <row r="397" ht="15.75" customHeight="1">
      <c r="A397" s="127"/>
      <c r="B397" s="211"/>
      <c r="D397" s="211"/>
    </row>
    <row r="398" ht="15.75" customHeight="1">
      <c r="A398" s="127"/>
      <c r="B398" s="211"/>
      <c r="D398" s="211"/>
    </row>
    <row r="399" ht="15.75" customHeight="1">
      <c r="A399" s="127"/>
      <c r="B399" s="211"/>
      <c r="D399" s="211"/>
    </row>
    <row r="400" ht="15.75" customHeight="1">
      <c r="A400" s="127"/>
      <c r="B400" s="211"/>
      <c r="D400" s="211"/>
    </row>
    <row r="401" ht="15.75" customHeight="1">
      <c r="A401" s="127"/>
      <c r="B401" s="211"/>
      <c r="D401" s="211"/>
    </row>
    <row r="402" ht="15.75" customHeight="1">
      <c r="A402" s="127"/>
      <c r="B402" s="211"/>
      <c r="D402" s="211"/>
    </row>
    <row r="403" ht="15.75" customHeight="1">
      <c r="A403" s="127"/>
      <c r="B403" s="211"/>
      <c r="D403" s="211"/>
    </row>
    <row r="404" ht="15.75" customHeight="1">
      <c r="A404" s="127"/>
      <c r="B404" s="211"/>
      <c r="D404" s="211"/>
    </row>
    <row r="405" ht="15.75" customHeight="1">
      <c r="A405" s="127"/>
      <c r="B405" s="211"/>
      <c r="D405" s="211"/>
    </row>
    <row r="406" ht="15.75" customHeight="1">
      <c r="A406" s="127"/>
      <c r="B406" s="211"/>
      <c r="D406" s="211"/>
    </row>
    <row r="407" ht="15.75" customHeight="1">
      <c r="A407" s="127"/>
      <c r="B407" s="211"/>
      <c r="D407" s="211"/>
    </row>
    <row r="408" ht="15.75" customHeight="1">
      <c r="A408" s="127"/>
      <c r="B408" s="211"/>
      <c r="D408" s="211"/>
    </row>
    <row r="409" ht="15.75" customHeight="1">
      <c r="A409" s="127"/>
      <c r="B409" s="211"/>
      <c r="D409" s="211"/>
    </row>
    <row r="410" ht="15.75" customHeight="1">
      <c r="A410" s="127"/>
      <c r="B410" s="211"/>
      <c r="D410" s="211"/>
    </row>
    <row r="411" ht="15.75" customHeight="1">
      <c r="A411" s="127"/>
      <c r="B411" s="211"/>
      <c r="D411" s="211"/>
    </row>
    <row r="412" ht="15.75" customHeight="1">
      <c r="A412" s="127"/>
      <c r="B412" s="211"/>
      <c r="D412" s="211"/>
    </row>
    <row r="413" ht="15.75" customHeight="1">
      <c r="A413" s="127"/>
      <c r="B413" s="211"/>
      <c r="D413" s="211"/>
    </row>
    <row r="414" ht="15.75" customHeight="1">
      <c r="A414" s="127"/>
      <c r="B414" s="211"/>
      <c r="D414" s="211"/>
    </row>
    <row r="415" ht="15.75" customHeight="1">
      <c r="A415" s="127"/>
      <c r="B415" s="211"/>
      <c r="D415" s="211"/>
    </row>
    <row r="416" ht="15.75" customHeight="1">
      <c r="A416" s="127"/>
      <c r="B416" s="211"/>
      <c r="D416" s="211"/>
    </row>
    <row r="417" ht="15.75" customHeight="1">
      <c r="A417" s="127"/>
      <c r="B417" s="211"/>
      <c r="D417" s="211"/>
    </row>
    <row r="418" ht="15.75" customHeight="1">
      <c r="A418" s="127"/>
      <c r="B418" s="211"/>
      <c r="D418" s="211"/>
    </row>
    <row r="419" ht="15.75" customHeight="1">
      <c r="A419" s="127"/>
      <c r="B419" s="211"/>
      <c r="D419" s="211"/>
    </row>
    <row r="420" ht="15.75" customHeight="1">
      <c r="A420" s="127"/>
      <c r="B420" s="211"/>
      <c r="D420" s="211"/>
    </row>
    <row r="421" ht="15.75" customHeight="1">
      <c r="A421" s="127"/>
      <c r="B421" s="211"/>
      <c r="D421" s="211"/>
    </row>
    <row r="422" ht="15.75" customHeight="1">
      <c r="A422" s="127"/>
      <c r="B422" s="211"/>
      <c r="D422" s="211"/>
    </row>
    <row r="423" ht="15.75" customHeight="1">
      <c r="A423" s="127"/>
      <c r="B423" s="211"/>
      <c r="D423" s="211"/>
    </row>
    <row r="424" ht="15.75" customHeight="1">
      <c r="A424" s="127"/>
      <c r="B424" s="211"/>
      <c r="D424" s="211"/>
    </row>
    <row r="425" ht="15.75" customHeight="1">
      <c r="A425" s="127"/>
      <c r="B425" s="211"/>
      <c r="D425" s="211"/>
    </row>
    <row r="426" ht="15.75" customHeight="1">
      <c r="A426" s="127"/>
      <c r="B426" s="211"/>
      <c r="D426" s="211"/>
    </row>
    <row r="427" ht="15.75" customHeight="1">
      <c r="A427" s="127"/>
      <c r="B427" s="211"/>
      <c r="D427" s="211"/>
    </row>
    <row r="428" ht="15.75" customHeight="1">
      <c r="A428" s="127"/>
      <c r="B428" s="211"/>
      <c r="D428" s="211"/>
    </row>
    <row r="429" ht="15.75" customHeight="1">
      <c r="A429" s="127"/>
      <c r="B429" s="211"/>
      <c r="D429" s="211"/>
    </row>
    <row r="430" ht="15.75" customHeight="1">
      <c r="A430" s="127"/>
      <c r="B430" s="211"/>
      <c r="D430" s="211"/>
    </row>
    <row r="431" ht="15.75" customHeight="1">
      <c r="A431" s="127"/>
      <c r="B431" s="211"/>
      <c r="D431" s="211"/>
    </row>
    <row r="432" ht="15.75" customHeight="1">
      <c r="A432" s="127"/>
      <c r="B432" s="211"/>
      <c r="D432" s="211"/>
    </row>
    <row r="433" ht="15.75" customHeight="1">
      <c r="A433" s="127"/>
      <c r="B433" s="211"/>
      <c r="D433" s="211"/>
    </row>
    <row r="434" ht="15.75" customHeight="1">
      <c r="A434" s="127"/>
      <c r="B434" s="211"/>
      <c r="D434" s="211"/>
    </row>
    <row r="435" ht="15.75" customHeight="1">
      <c r="A435" s="127"/>
      <c r="B435" s="211"/>
      <c r="D435" s="211"/>
    </row>
    <row r="436" ht="15.75" customHeight="1">
      <c r="A436" s="127"/>
      <c r="B436" s="211"/>
      <c r="D436" s="211"/>
    </row>
    <row r="437" ht="15.75" customHeight="1">
      <c r="A437" s="127"/>
      <c r="B437" s="211"/>
      <c r="D437" s="211"/>
    </row>
    <row r="438" ht="15.75" customHeight="1">
      <c r="A438" s="127"/>
      <c r="B438" s="211"/>
      <c r="D438" s="211"/>
    </row>
    <row r="439" ht="15.75" customHeight="1">
      <c r="A439" s="127"/>
      <c r="B439" s="211"/>
      <c r="D439" s="211"/>
    </row>
    <row r="440" ht="15.75" customHeight="1">
      <c r="A440" s="127"/>
      <c r="B440" s="211"/>
      <c r="D440" s="211"/>
    </row>
    <row r="441" ht="15.75" customHeight="1">
      <c r="A441" s="127"/>
      <c r="B441" s="211"/>
      <c r="D441" s="211"/>
    </row>
    <row r="442" ht="15.75" customHeight="1">
      <c r="A442" s="127"/>
      <c r="B442" s="211"/>
      <c r="D442" s="211"/>
    </row>
    <row r="443" ht="15.75" customHeight="1">
      <c r="A443" s="127"/>
      <c r="B443" s="211"/>
      <c r="D443" s="211"/>
    </row>
    <row r="444" ht="15.75" customHeight="1">
      <c r="A444" s="127"/>
      <c r="B444" s="211"/>
      <c r="D444" s="211"/>
    </row>
    <row r="445" ht="15.75" customHeight="1">
      <c r="A445" s="127"/>
      <c r="B445" s="211"/>
      <c r="D445" s="211"/>
    </row>
    <row r="446" ht="15.75" customHeight="1">
      <c r="A446" s="127"/>
      <c r="B446" s="211"/>
      <c r="D446" s="211"/>
    </row>
    <row r="447" ht="15.75" customHeight="1">
      <c r="A447" s="127"/>
      <c r="B447" s="211"/>
      <c r="D447" s="211"/>
    </row>
    <row r="448" ht="15.75" customHeight="1">
      <c r="A448" s="127"/>
      <c r="B448" s="211"/>
      <c r="D448" s="211"/>
    </row>
    <row r="449" ht="15.75" customHeight="1">
      <c r="A449" s="127"/>
      <c r="B449" s="211"/>
      <c r="D449" s="211"/>
    </row>
    <row r="450" ht="15.75" customHeight="1">
      <c r="A450" s="127"/>
      <c r="B450" s="211"/>
      <c r="D450" s="211"/>
    </row>
    <row r="451" ht="15.75" customHeight="1">
      <c r="A451" s="127"/>
      <c r="B451" s="211"/>
      <c r="D451" s="211"/>
    </row>
    <row r="452" ht="15.75" customHeight="1">
      <c r="A452" s="127"/>
      <c r="B452" s="211"/>
      <c r="D452" s="211"/>
    </row>
    <row r="453" ht="15.75" customHeight="1">
      <c r="A453" s="127"/>
      <c r="B453" s="211"/>
      <c r="D453" s="211"/>
    </row>
    <row r="454" ht="15.75" customHeight="1">
      <c r="A454" s="127"/>
      <c r="B454" s="211"/>
      <c r="D454" s="211"/>
    </row>
    <row r="455" ht="15.75" customHeight="1">
      <c r="A455" s="127"/>
      <c r="B455" s="211"/>
      <c r="D455" s="211"/>
    </row>
    <row r="456" ht="15.75" customHeight="1">
      <c r="A456" s="127"/>
      <c r="B456" s="211"/>
      <c r="D456" s="211"/>
    </row>
    <row r="457" ht="15.75" customHeight="1">
      <c r="A457" s="127"/>
      <c r="B457" s="211"/>
      <c r="D457" s="211"/>
    </row>
    <row r="458" ht="15.75" customHeight="1">
      <c r="A458" s="127"/>
      <c r="B458" s="211"/>
      <c r="D458" s="211"/>
    </row>
    <row r="459" ht="15.75" customHeight="1">
      <c r="A459" s="127"/>
      <c r="B459" s="211"/>
      <c r="D459" s="211"/>
    </row>
    <row r="460" ht="15.75" customHeight="1">
      <c r="A460" s="127"/>
      <c r="B460" s="211"/>
      <c r="D460" s="211"/>
    </row>
    <row r="461" ht="15.75" customHeight="1">
      <c r="A461" s="127"/>
      <c r="B461" s="211"/>
      <c r="D461" s="211"/>
    </row>
    <row r="462" ht="15.75" customHeight="1">
      <c r="A462" s="127"/>
      <c r="B462" s="211"/>
      <c r="D462" s="211"/>
    </row>
    <row r="463" ht="15.75" customHeight="1">
      <c r="A463" s="127"/>
      <c r="B463" s="211"/>
      <c r="D463" s="211"/>
    </row>
    <row r="464" ht="15.75" customHeight="1">
      <c r="A464" s="127"/>
      <c r="B464" s="211"/>
      <c r="D464" s="211"/>
    </row>
    <row r="465" ht="15.75" customHeight="1">
      <c r="A465" s="127"/>
      <c r="B465" s="211"/>
      <c r="D465" s="211"/>
    </row>
    <row r="466" ht="15.75" customHeight="1">
      <c r="A466" s="127"/>
      <c r="B466" s="211"/>
      <c r="D466" s="211"/>
    </row>
    <row r="467" ht="15.75" customHeight="1">
      <c r="A467" s="127"/>
      <c r="B467" s="211"/>
      <c r="D467" s="211"/>
    </row>
    <row r="468" ht="15.75" customHeight="1">
      <c r="A468" s="127"/>
      <c r="B468" s="211"/>
      <c r="D468" s="211"/>
    </row>
    <row r="469" ht="15.75" customHeight="1">
      <c r="A469" s="127"/>
      <c r="B469" s="211"/>
      <c r="D469" s="211"/>
    </row>
    <row r="470" ht="15.75" customHeight="1">
      <c r="A470" s="127"/>
      <c r="B470" s="211"/>
      <c r="D470" s="211"/>
    </row>
    <row r="471" ht="15.75" customHeight="1">
      <c r="A471" s="127"/>
      <c r="B471" s="211"/>
      <c r="D471" s="211"/>
    </row>
    <row r="472" ht="15.75" customHeight="1">
      <c r="A472" s="127"/>
      <c r="B472" s="211"/>
      <c r="D472" s="211"/>
    </row>
    <row r="473" ht="15.75" customHeight="1">
      <c r="A473" s="127"/>
      <c r="B473" s="211"/>
      <c r="D473" s="211"/>
    </row>
    <row r="474" ht="15.75" customHeight="1">
      <c r="A474" s="127"/>
      <c r="B474" s="211"/>
      <c r="D474" s="211"/>
    </row>
    <row r="475" ht="15.75" customHeight="1">
      <c r="A475" s="127"/>
      <c r="B475" s="211"/>
      <c r="D475" s="211"/>
    </row>
    <row r="476" ht="15.75" customHeight="1">
      <c r="A476" s="127"/>
      <c r="B476" s="211"/>
      <c r="D476" s="211"/>
    </row>
    <row r="477" ht="15.75" customHeight="1">
      <c r="A477" s="127"/>
      <c r="B477" s="211"/>
      <c r="D477" s="211"/>
    </row>
    <row r="478" ht="15.75" customHeight="1">
      <c r="A478" s="127"/>
      <c r="B478" s="211"/>
      <c r="D478" s="211"/>
    </row>
    <row r="479" ht="15.75" customHeight="1">
      <c r="A479" s="127"/>
      <c r="B479" s="211"/>
      <c r="D479" s="211"/>
    </row>
    <row r="480" ht="15.75" customHeight="1">
      <c r="A480" s="127"/>
      <c r="B480" s="211"/>
      <c r="D480" s="211"/>
    </row>
    <row r="481" ht="15.75" customHeight="1">
      <c r="A481" s="127"/>
      <c r="B481" s="211"/>
      <c r="D481" s="211"/>
    </row>
    <row r="482" ht="15.75" customHeight="1">
      <c r="A482" s="127"/>
      <c r="B482" s="211"/>
      <c r="D482" s="211"/>
    </row>
    <row r="483" ht="15.75" customHeight="1">
      <c r="A483" s="127"/>
      <c r="B483" s="211"/>
      <c r="D483" s="211"/>
    </row>
    <row r="484" ht="15.75" customHeight="1">
      <c r="A484" s="127"/>
      <c r="B484" s="211"/>
      <c r="D484" s="211"/>
    </row>
    <row r="485" ht="15.75" customHeight="1">
      <c r="A485" s="127"/>
      <c r="B485" s="211"/>
      <c r="D485" s="211"/>
    </row>
    <row r="486" ht="15.75" customHeight="1">
      <c r="A486" s="127"/>
      <c r="B486" s="211"/>
      <c r="D486" s="211"/>
    </row>
    <row r="487" ht="15.75" customHeight="1">
      <c r="A487" s="127"/>
      <c r="B487" s="211"/>
      <c r="D487" s="211"/>
    </row>
    <row r="488" ht="15.75" customHeight="1">
      <c r="A488" s="127"/>
      <c r="B488" s="211"/>
      <c r="D488" s="211"/>
    </row>
    <row r="489" ht="15.75" customHeight="1">
      <c r="A489" s="127"/>
      <c r="B489" s="211"/>
      <c r="D489" s="211"/>
    </row>
    <row r="490" ht="15.75" customHeight="1">
      <c r="A490" s="127"/>
      <c r="B490" s="211"/>
      <c r="D490" s="211"/>
    </row>
    <row r="491" ht="15.75" customHeight="1">
      <c r="A491" s="127"/>
      <c r="B491" s="211"/>
      <c r="D491" s="211"/>
    </row>
    <row r="492" ht="15.75" customHeight="1">
      <c r="A492" s="127"/>
      <c r="B492" s="211"/>
      <c r="D492" s="211"/>
    </row>
    <row r="493" ht="15.75" customHeight="1">
      <c r="A493" s="127"/>
      <c r="B493" s="211"/>
      <c r="D493" s="211"/>
    </row>
    <row r="494" ht="15.75" customHeight="1">
      <c r="A494" s="127"/>
      <c r="B494" s="211"/>
      <c r="D494" s="211"/>
    </row>
    <row r="495" ht="15.75" customHeight="1">
      <c r="A495" s="127"/>
      <c r="B495" s="211"/>
      <c r="D495" s="211"/>
    </row>
    <row r="496" ht="15.75" customHeight="1">
      <c r="A496" s="127"/>
      <c r="B496" s="211"/>
      <c r="D496" s="211"/>
    </row>
    <row r="497" ht="15.75" customHeight="1">
      <c r="A497" s="127"/>
      <c r="B497" s="211"/>
      <c r="D497" s="211"/>
    </row>
    <row r="498" ht="15.75" customHeight="1">
      <c r="A498" s="127"/>
      <c r="B498" s="211"/>
      <c r="D498" s="211"/>
    </row>
    <row r="499" ht="15.75" customHeight="1">
      <c r="A499" s="127"/>
      <c r="B499" s="211"/>
      <c r="D499" s="211"/>
    </row>
    <row r="500" ht="15.75" customHeight="1">
      <c r="A500" s="127"/>
      <c r="B500" s="211"/>
      <c r="D500" s="211"/>
    </row>
    <row r="501" ht="15.75" customHeight="1">
      <c r="A501" s="127"/>
      <c r="B501" s="211"/>
      <c r="D501" s="211"/>
    </row>
    <row r="502" ht="15.75" customHeight="1">
      <c r="A502" s="127"/>
      <c r="B502" s="211"/>
      <c r="D502" s="211"/>
    </row>
    <row r="503" ht="15.75" customHeight="1">
      <c r="A503" s="127"/>
      <c r="B503" s="211"/>
      <c r="D503" s="211"/>
    </row>
    <row r="504" ht="15.75" customHeight="1">
      <c r="A504" s="127"/>
      <c r="B504" s="211"/>
      <c r="D504" s="211"/>
    </row>
    <row r="505" ht="15.75" customHeight="1">
      <c r="A505" s="127"/>
      <c r="B505" s="211"/>
      <c r="D505" s="211"/>
    </row>
    <row r="506" ht="15.75" customHeight="1">
      <c r="A506" s="127"/>
      <c r="B506" s="211"/>
      <c r="D506" s="211"/>
    </row>
    <row r="507" ht="15.75" customHeight="1">
      <c r="A507" s="127"/>
      <c r="B507" s="211"/>
      <c r="D507" s="211"/>
    </row>
    <row r="508" ht="15.75" customHeight="1">
      <c r="A508" s="127"/>
      <c r="B508" s="211"/>
      <c r="D508" s="211"/>
    </row>
    <row r="509" ht="15.75" customHeight="1">
      <c r="A509" s="127"/>
      <c r="B509" s="211"/>
      <c r="D509" s="211"/>
    </row>
    <row r="510" ht="15.75" customHeight="1">
      <c r="A510" s="127"/>
      <c r="B510" s="211"/>
      <c r="D510" s="211"/>
    </row>
    <row r="511" ht="15.75" customHeight="1">
      <c r="A511" s="127"/>
      <c r="B511" s="211"/>
      <c r="D511" s="211"/>
    </row>
    <row r="512" ht="15.75" customHeight="1">
      <c r="A512" s="127"/>
      <c r="B512" s="211"/>
      <c r="D512" s="211"/>
    </row>
    <row r="513" ht="15.75" customHeight="1">
      <c r="A513" s="127"/>
      <c r="B513" s="211"/>
      <c r="D513" s="211"/>
    </row>
    <row r="514" ht="15.75" customHeight="1">
      <c r="A514" s="127"/>
      <c r="B514" s="211"/>
      <c r="D514" s="211"/>
    </row>
    <row r="515" ht="15.75" customHeight="1">
      <c r="A515" s="127"/>
      <c r="B515" s="211"/>
      <c r="D515" s="211"/>
    </row>
    <row r="516" ht="15.75" customHeight="1">
      <c r="A516" s="127"/>
      <c r="B516" s="211"/>
      <c r="D516" s="211"/>
    </row>
    <row r="517" ht="15.75" customHeight="1">
      <c r="A517" s="127"/>
      <c r="B517" s="211"/>
      <c r="D517" s="211"/>
    </row>
    <row r="518" ht="15.75" customHeight="1">
      <c r="A518" s="127"/>
      <c r="B518" s="211"/>
      <c r="D518" s="211"/>
    </row>
    <row r="519" ht="15.75" customHeight="1">
      <c r="A519" s="127"/>
      <c r="B519" s="211"/>
      <c r="D519" s="211"/>
    </row>
    <row r="520" ht="15.75" customHeight="1">
      <c r="A520" s="127"/>
      <c r="B520" s="211"/>
      <c r="D520" s="211"/>
    </row>
    <row r="521" ht="15.75" customHeight="1">
      <c r="A521" s="127"/>
      <c r="B521" s="211"/>
      <c r="D521" s="211"/>
    </row>
    <row r="522" ht="15.75" customHeight="1">
      <c r="A522" s="127"/>
      <c r="B522" s="211"/>
      <c r="D522" s="211"/>
    </row>
    <row r="523" ht="15.75" customHeight="1">
      <c r="A523" s="127"/>
      <c r="B523" s="211"/>
      <c r="D523" s="211"/>
    </row>
    <row r="524" ht="15.75" customHeight="1">
      <c r="A524" s="127"/>
      <c r="B524" s="211"/>
      <c r="D524" s="211"/>
    </row>
    <row r="525" ht="15.75" customHeight="1">
      <c r="A525" s="127"/>
      <c r="B525" s="211"/>
      <c r="D525" s="211"/>
    </row>
    <row r="526" ht="15.75" customHeight="1">
      <c r="A526" s="127"/>
      <c r="B526" s="211"/>
      <c r="D526" s="211"/>
    </row>
    <row r="527" ht="15.75" customHeight="1">
      <c r="A527" s="127"/>
      <c r="B527" s="211"/>
      <c r="D527" s="211"/>
    </row>
    <row r="528" ht="15.75" customHeight="1">
      <c r="A528" s="127"/>
      <c r="B528" s="211"/>
      <c r="D528" s="211"/>
    </row>
    <row r="529" ht="15.75" customHeight="1">
      <c r="A529" s="127"/>
      <c r="B529" s="211"/>
      <c r="D529" s="211"/>
    </row>
    <row r="530" ht="15.75" customHeight="1">
      <c r="A530" s="127"/>
      <c r="B530" s="211"/>
      <c r="D530" s="211"/>
    </row>
    <row r="531" ht="15.75" customHeight="1">
      <c r="A531" s="127"/>
      <c r="B531" s="211"/>
      <c r="D531" s="211"/>
    </row>
    <row r="532" ht="15.75" customHeight="1">
      <c r="A532" s="127"/>
      <c r="B532" s="211"/>
      <c r="D532" s="211"/>
    </row>
    <row r="533" ht="15.75" customHeight="1">
      <c r="A533" s="127"/>
      <c r="B533" s="211"/>
      <c r="D533" s="211"/>
    </row>
    <row r="534" ht="15.75" customHeight="1">
      <c r="A534" s="127"/>
      <c r="B534" s="211"/>
      <c r="D534" s="211"/>
    </row>
    <row r="535" ht="15.75" customHeight="1">
      <c r="A535" s="127"/>
      <c r="B535" s="211"/>
      <c r="D535" s="211"/>
    </row>
    <row r="536" ht="15.75" customHeight="1">
      <c r="A536" s="127"/>
      <c r="B536" s="211"/>
      <c r="D536" s="211"/>
    </row>
    <row r="537" ht="15.75" customHeight="1">
      <c r="A537" s="127"/>
      <c r="B537" s="211"/>
      <c r="D537" s="211"/>
    </row>
    <row r="538" ht="15.75" customHeight="1">
      <c r="A538" s="127"/>
      <c r="B538" s="211"/>
      <c r="D538" s="211"/>
    </row>
    <row r="539" ht="15.75" customHeight="1">
      <c r="A539" s="127"/>
      <c r="B539" s="211"/>
      <c r="D539" s="211"/>
    </row>
    <row r="540" ht="15.75" customHeight="1">
      <c r="A540" s="127"/>
      <c r="B540" s="211"/>
      <c r="D540" s="211"/>
    </row>
    <row r="541" ht="15.75" customHeight="1">
      <c r="A541" s="127"/>
      <c r="B541" s="211"/>
      <c r="D541" s="211"/>
    </row>
    <row r="542" ht="15.75" customHeight="1">
      <c r="A542" s="127"/>
      <c r="B542" s="211"/>
      <c r="D542" s="211"/>
    </row>
    <row r="543" ht="15.75" customHeight="1">
      <c r="A543" s="127"/>
      <c r="B543" s="211"/>
      <c r="D543" s="211"/>
    </row>
    <row r="544" ht="15.75" customHeight="1">
      <c r="A544" s="127"/>
      <c r="B544" s="211"/>
      <c r="D544" s="211"/>
    </row>
    <row r="545" ht="15.75" customHeight="1">
      <c r="A545" s="127"/>
      <c r="B545" s="211"/>
      <c r="D545" s="211"/>
    </row>
    <row r="546" ht="15.75" customHeight="1">
      <c r="A546" s="127"/>
      <c r="B546" s="211"/>
      <c r="D546" s="211"/>
    </row>
    <row r="547" ht="15.75" customHeight="1">
      <c r="A547" s="127"/>
      <c r="B547" s="211"/>
      <c r="D547" s="211"/>
    </row>
    <row r="548" ht="15.75" customHeight="1">
      <c r="A548" s="127"/>
      <c r="B548" s="211"/>
      <c r="D548" s="211"/>
    </row>
    <row r="549" ht="15.75" customHeight="1">
      <c r="A549" s="127"/>
      <c r="B549" s="211"/>
      <c r="D549" s="211"/>
    </row>
    <row r="550" ht="15.75" customHeight="1">
      <c r="A550" s="127"/>
      <c r="B550" s="211"/>
      <c r="D550" s="211"/>
    </row>
    <row r="551" ht="15.75" customHeight="1">
      <c r="A551" s="127"/>
      <c r="B551" s="211"/>
      <c r="D551" s="211"/>
    </row>
    <row r="552" ht="15.75" customHeight="1">
      <c r="A552" s="127"/>
      <c r="B552" s="211"/>
      <c r="D552" s="211"/>
    </row>
    <row r="553" ht="15.75" customHeight="1">
      <c r="A553" s="127"/>
      <c r="B553" s="211"/>
      <c r="D553" s="211"/>
    </row>
    <row r="554" ht="15.75" customHeight="1">
      <c r="A554" s="127"/>
      <c r="B554" s="211"/>
      <c r="D554" s="211"/>
    </row>
    <row r="555" ht="15.75" customHeight="1">
      <c r="A555" s="127"/>
      <c r="B555" s="211"/>
      <c r="D555" s="211"/>
    </row>
    <row r="556" ht="15.75" customHeight="1">
      <c r="A556" s="127"/>
      <c r="B556" s="211"/>
      <c r="D556" s="211"/>
    </row>
    <row r="557" ht="15.75" customHeight="1">
      <c r="A557" s="127"/>
      <c r="B557" s="211"/>
      <c r="D557" s="211"/>
    </row>
    <row r="558" ht="15.75" customHeight="1">
      <c r="A558" s="127"/>
      <c r="B558" s="211"/>
      <c r="D558" s="211"/>
    </row>
    <row r="559" ht="15.75" customHeight="1">
      <c r="A559" s="127"/>
      <c r="B559" s="211"/>
      <c r="D559" s="211"/>
    </row>
    <row r="560" ht="15.75" customHeight="1">
      <c r="A560" s="127"/>
      <c r="B560" s="211"/>
      <c r="D560" s="211"/>
    </row>
    <row r="561" ht="15.75" customHeight="1">
      <c r="A561" s="127"/>
      <c r="B561" s="211"/>
      <c r="D561" s="211"/>
    </row>
    <row r="562" ht="15.75" customHeight="1">
      <c r="A562" s="127"/>
      <c r="B562" s="211"/>
      <c r="D562" s="211"/>
    </row>
    <row r="563" ht="15.75" customHeight="1">
      <c r="A563" s="127"/>
      <c r="B563" s="211"/>
      <c r="D563" s="211"/>
    </row>
    <row r="564" ht="15.75" customHeight="1">
      <c r="A564" s="127"/>
      <c r="B564" s="211"/>
      <c r="D564" s="211"/>
    </row>
    <row r="565" ht="15.75" customHeight="1">
      <c r="A565" s="127"/>
      <c r="B565" s="211"/>
      <c r="D565" s="211"/>
    </row>
    <row r="566" ht="15.75" customHeight="1">
      <c r="A566" s="127"/>
      <c r="B566" s="211"/>
      <c r="D566" s="211"/>
    </row>
    <row r="567" ht="15.75" customHeight="1">
      <c r="A567" s="127"/>
      <c r="B567" s="211"/>
      <c r="D567" s="211"/>
    </row>
    <row r="568" ht="15.75" customHeight="1">
      <c r="A568" s="127"/>
      <c r="B568" s="211"/>
      <c r="D568" s="211"/>
    </row>
    <row r="569" ht="15.75" customHeight="1">
      <c r="A569" s="127"/>
      <c r="B569" s="211"/>
      <c r="D569" s="211"/>
    </row>
    <row r="570" ht="15.75" customHeight="1">
      <c r="A570" s="127"/>
      <c r="B570" s="211"/>
      <c r="D570" s="211"/>
    </row>
    <row r="571" ht="15.75" customHeight="1">
      <c r="A571" s="127"/>
      <c r="B571" s="211"/>
      <c r="D571" s="211"/>
    </row>
    <row r="572" ht="15.75" customHeight="1">
      <c r="A572" s="127"/>
      <c r="B572" s="211"/>
      <c r="D572" s="211"/>
    </row>
    <row r="573" ht="15.75" customHeight="1">
      <c r="A573" s="127"/>
      <c r="B573" s="211"/>
      <c r="D573" s="211"/>
    </row>
    <row r="574" ht="15.75" customHeight="1">
      <c r="A574" s="127"/>
      <c r="B574" s="211"/>
      <c r="D574" s="211"/>
    </row>
    <row r="575" ht="15.75" customHeight="1">
      <c r="A575" s="127"/>
      <c r="B575" s="211"/>
      <c r="D575" s="211"/>
    </row>
    <row r="576" ht="15.75" customHeight="1">
      <c r="A576" s="127"/>
      <c r="B576" s="211"/>
      <c r="D576" s="211"/>
    </row>
    <row r="577" ht="15.75" customHeight="1">
      <c r="A577" s="127"/>
      <c r="B577" s="211"/>
      <c r="D577" s="211"/>
    </row>
    <row r="578" ht="15.75" customHeight="1">
      <c r="A578" s="127"/>
      <c r="B578" s="211"/>
      <c r="D578" s="211"/>
    </row>
    <row r="579" ht="15.75" customHeight="1">
      <c r="A579" s="127"/>
      <c r="B579" s="211"/>
      <c r="D579" s="211"/>
    </row>
    <row r="580" ht="15.75" customHeight="1">
      <c r="A580" s="127"/>
      <c r="B580" s="211"/>
      <c r="D580" s="211"/>
    </row>
    <row r="581" ht="15.75" customHeight="1">
      <c r="A581" s="127"/>
      <c r="B581" s="211"/>
      <c r="D581" s="211"/>
    </row>
    <row r="582" ht="15.75" customHeight="1">
      <c r="A582" s="127"/>
      <c r="B582" s="211"/>
      <c r="D582" s="211"/>
    </row>
    <row r="583" ht="15.75" customHeight="1">
      <c r="A583" s="127"/>
      <c r="B583" s="211"/>
      <c r="D583" s="211"/>
    </row>
    <row r="584" ht="15.75" customHeight="1">
      <c r="A584" s="127"/>
      <c r="B584" s="211"/>
      <c r="D584" s="211"/>
    </row>
    <row r="585" ht="15.75" customHeight="1">
      <c r="A585" s="127"/>
      <c r="B585" s="211"/>
      <c r="D585" s="211"/>
    </row>
    <row r="586" ht="15.75" customHeight="1">
      <c r="A586" s="127"/>
      <c r="B586" s="211"/>
      <c r="D586" s="211"/>
    </row>
    <row r="587" ht="15.75" customHeight="1">
      <c r="A587" s="127"/>
      <c r="B587" s="211"/>
      <c r="D587" s="211"/>
    </row>
    <row r="588" ht="15.75" customHeight="1">
      <c r="A588" s="127"/>
      <c r="B588" s="211"/>
      <c r="D588" s="211"/>
    </row>
    <row r="589" ht="15.75" customHeight="1">
      <c r="A589" s="127"/>
      <c r="B589" s="211"/>
      <c r="D589" s="211"/>
    </row>
    <row r="590" ht="15.75" customHeight="1">
      <c r="A590" s="127"/>
      <c r="B590" s="211"/>
      <c r="D590" s="211"/>
    </row>
    <row r="591" ht="15.75" customHeight="1">
      <c r="A591" s="127"/>
      <c r="B591" s="211"/>
      <c r="D591" s="211"/>
    </row>
    <row r="592" ht="15.75" customHeight="1">
      <c r="A592" s="127"/>
      <c r="B592" s="211"/>
      <c r="D592" s="211"/>
    </row>
    <row r="593" ht="15.75" customHeight="1">
      <c r="A593" s="127"/>
      <c r="B593" s="211"/>
      <c r="D593" s="211"/>
    </row>
    <row r="594" ht="15.75" customHeight="1">
      <c r="A594" s="127"/>
      <c r="B594" s="211"/>
      <c r="D594" s="211"/>
    </row>
    <row r="595" ht="15.75" customHeight="1">
      <c r="A595" s="127"/>
      <c r="B595" s="211"/>
      <c r="D595" s="211"/>
    </row>
    <row r="596" ht="15.75" customHeight="1">
      <c r="A596" s="127"/>
      <c r="B596" s="211"/>
      <c r="D596" s="211"/>
    </row>
    <row r="597" ht="15.75" customHeight="1">
      <c r="A597" s="127"/>
      <c r="B597" s="211"/>
      <c r="D597" s="211"/>
    </row>
    <row r="598" ht="15.75" customHeight="1">
      <c r="A598" s="127"/>
      <c r="B598" s="211"/>
      <c r="D598" s="211"/>
    </row>
    <row r="599" ht="15.75" customHeight="1">
      <c r="A599" s="127"/>
      <c r="B599" s="211"/>
      <c r="D599" s="211"/>
    </row>
    <row r="600" ht="15.75" customHeight="1">
      <c r="A600" s="127"/>
      <c r="B600" s="211"/>
      <c r="D600" s="211"/>
    </row>
    <row r="601" ht="15.75" customHeight="1">
      <c r="A601" s="127"/>
      <c r="B601" s="211"/>
      <c r="D601" s="211"/>
    </row>
    <row r="602" ht="15.75" customHeight="1">
      <c r="A602" s="127"/>
      <c r="B602" s="211"/>
      <c r="D602" s="211"/>
    </row>
    <row r="603" ht="15.75" customHeight="1">
      <c r="A603" s="127"/>
      <c r="B603" s="211"/>
      <c r="D603" s="211"/>
    </row>
    <row r="604" ht="15.75" customHeight="1">
      <c r="A604" s="127"/>
      <c r="B604" s="211"/>
      <c r="D604" s="211"/>
    </row>
    <row r="605" ht="15.75" customHeight="1">
      <c r="A605" s="127"/>
      <c r="B605" s="211"/>
      <c r="D605" s="211"/>
    </row>
    <row r="606" ht="15.75" customHeight="1">
      <c r="A606" s="127"/>
      <c r="B606" s="211"/>
      <c r="D606" s="211"/>
    </row>
    <row r="607" ht="15.75" customHeight="1">
      <c r="A607" s="127"/>
      <c r="B607" s="211"/>
      <c r="D607" s="211"/>
    </row>
    <row r="608" ht="15.75" customHeight="1">
      <c r="A608" s="127"/>
      <c r="B608" s="211"/>
      <c r="D608" s="211"/>
    </row>
    <row r="609" ht="15.75" customHeight="1">
      <c r="A609" s="127"/>
      <c r="B609" s="211"/>
      <c r="D609" s="211"/>
    </row>
    <row r="610" ht="15.75" customHeight="1">
      <c r="A610" s="127"/>
      <c r="B610" s="211"/>
      <c r="D610" s="211"/>
    </row>
    <row r="611" ht="15.75" customHeight="1">
      <c r="A611" s="127"/>
      <c r="B611" s="211"/>
      <c r="D611" s="211"/>
    </row>
    <row r="612" ht="15.75" customHeight="1">
      <c r="A612" s="127"/>
      <c r="B612" s="211"/>
      <c r="D612" s="211"/>
    </row>
    <row r="613" ht="15.75" customHeight="1">
      <c r="A613" s="127"/>
      <c r="B613" s="211"/>
      <c r="D613" s="211"/>
    </row>
    <row r="614" ht="15.75" customHeight="1">
      <c r="A614" s="127"/>
      <c r="B614" s="211"/>
      <c r="D614" s="211"/>
    </row>
    <row r="615" ht="15.75" customHeight="1">
      <c r="A615" s="127"/>
      <c r="B615" s="211"/>
      <c r="D615" s="211"/>
    </row>
    <row r="616" ht="15.75" customHeight="1">
      <c r="A616" s="127"/>
      <c r="B616" s="211"/>
      <c r="D616" s="211"/>
    </row>
    <row r="617" ht="15.75" customHeight="1">
      <c r="A617" s="127"/>
      <c r="B617" s="211"/>
      <c r="D617" s="211"/>
    </row>
    <row r="618" ht="15.75" customHeight="1">
      <c r="A618" s="127"/>
      <c r="B618" s="211"/>
      <c r="D618" s="211"/>
    </row>
    <row r="619" ht="15.75" customHeight="1">
      <c r="A619" s="127"/>
      <c r="B619" s="211"/>
      <c r="D619" s="211"/>
    </row>
    <row r="620" ht="15.75" customHeight="1">
      <c r="A620" s="127"/>
      <c r="B620" s="211"/>
      <c r="D620" s="211"/>
    </row>
    <row r="621" ht="15.75" customHeight="1">
      <c r="A621" s="127"/>
      <c r="B621" s="211"/>
      <c r="D621" s="211"/>
    </row>
    <row r="622" ht="15.75" customHeight="1">
      <c r="A622" s="127"/>
      <c r="B622" s="211"/>
      <c r="D622" s="211"/>
    </row>
    <row r="623" ht="15.75" customHeight="1">
      <c r="A623" s="127"/>
      <c r="B623" s="211"/>
      <c r="D623" s="211"/>
    </row>
    <row r="624" ht="15.75" customHeight="1">
      <c r="A624" s="127"/>
      <c r="B624" s="211"/>
      <c r="D624" s="211"/>
    </row>
    <row r="625" ht="15.75" customHeight="1">
      <c r="A625" s="127"/>
      <c r="B625" s="211"/>
      <c r="D625" s="211"/>
    </row>
    <row r="626" ht="15.75" customHeight="1">
      <c r="A626" s="127"/>
      <c r="B626" s="211"/>
      <c r="D626" s="211"/>
    </row>
    <row r="627" ht="15.75" customHeight="1">
      <c r="A627" s="127"/>
      <c r="B627" s="211"/>
      <c r="D627" s="211"/>
    </row>
    <row r="628" ht="15.75" customHeight="1">
      <c r="A628" s="127"/>
      <c r="B628" s="211"/>
      <c r="D628" s="211"/>
    </row>
    <row r="629" ht="15.75" customHeight="1">
      <c r="A629" s="127"/>
      <c r="B629" s="211"/>
      <c r="D629" s="211"/>
    </row>
    <row r="630" ht="15.75" customHeight="1">
      <c r="A630" s="127"/>
      <c r="B630" s="211"/>
      <c r="D630" s="211"/>
    </row>
    <row r="631" ht="15.75" customHeight="1">
      <c r="A631" s="127"/>
      <c r="B631" s="211"/>
      <c r="D631" s="211"/>
    </row>
    <row r="632" ht="15.75" customHeight="1">
      <c r="A632" s="127"/>
      <c r="B632" s="211"/>
      <c r="D632" s="211"/>
    </row>
    <row r="633" ht="15.75" customHeight="1">
      <c r="A633" s="127"/>
      <c r="B633" s="211"/>
      <c r="D633" s="211"/>
    </row>
    <row r="634" ht="15.75" customHeight="1">
      <c r="A634" s="127"/>
      <c r="B634" s="211"/>
      <c r="D634" s="211"/>
    </row>
    <row r="635" ht="15.75" customHeight="1">
      <c r="A635" s="127"/>
      <c r="B635" s="211"/>
      <c r="D635" s="211"/>
    </row>
    <row r="636" ht="15.75" customHeight="1">
      <c r="A636" s="127"/>
      <c r="B636" s="211"/>
      <c r="D636" s="211"/>
    </row>
    <row r="637" ht="15.75" customHeight="1">
      <c r="A637" s="127"/>
      <c r="B637" s="211"/>
      <c r="D637" s="211"/>
    </row>
    <row r="638" ht="15.75" customHeight="1">
      <c r="A638" s="127"/>
      <c r="B638" s="211"/>
      <c r="D638" s="211"/>
    </row>
    <row r="639" ht="15.75" customHeight="1">
      <c r="A639" s="127"/>
      <c r="B639" s="211"/>
      <c r="D639" s="211"/>
    </row>
    <row r="640" ht="15.75" customHeight="1">
      <c r="A640" s="127"/>
      <c r="B640" s="211"/>
      <c r="D640" s="211"/>
    </row>
    <row r="641" ht="15.75" customHeight="1">
      <c r="A641" s="127"/>
      <c r="B641" s="211"/>
      <c r="D641" s="211"/>
    </row>
    <row r="642" ht="15.75" customHeight="1">
      <c r="A642" s="127"/>
      <c r="B642" s="211"/>
      <c r="D642" s="211"/>
    </row>
    <row r="643" ht="15.75" customHeight="1">
      <c r="A643" s="127"/>
      <c r="B643" s="211"/>
      <c r="D643" s="211"/>
    </row>
    <row r="644" ht="15.75" customHeight="1">
      <c r="A644" s="127"/>
      <c r="B644" s="211"/>
      <c r="D644" s="211"/>
    </row>
    <row r="645" ht="15.75" customHeight="1">
      <c r="A645" s="127"/>
      <c r="B645" s="211"/>
      <c r="D645" s="211"/>
    </row>
    <row r="646" ht="15.75" customHeight="1">
      <c r="A646" s="127"/>
      <c r="B646" s="211"/>
      <c r="D646" s="211"/>
    </row>
    <row r="647" ht="15.75" customHeight="1">
      <c r="A647" s="127"/>
      <c r="B647" s="211"/>
      <c r="D647" s="211"/>
    </row>
    <row r="648" ht="15.75" customHeight="1">
      <c r="A648" s="127"/>
      <c r="B648" s="211"/>
      <c r="D648" s="211"/>
    </row>
    <row r="649" ht="15.75" customHeight="1">
      <c r="A649" s="127"/>
      <c r="B649" s="211"/>
      <c r="D649" s="211"/>
    </row>
    <row r="650" ht="15.75" customHeight="1">
      <c r="A650" s="127"/>
      <c r="B650" s="211"/>
      <c r="D650" s="211"/>
    </row>
    <row r="651" ht="15.75" customHeight="1">
      <c r="A651" s="127"/>
      <c r="B651" s="211"/>
      <c r="D651" s="211"/>
    </row>
    <row r="652" ht="15.75" customHeight="1">
      <c r="A652" s="127"/>
      <c r="B652" s="211"/>
      <c r="D652" s="211"/>
    </row>
    <row r="653" ht="15.75" customHeight="1">
      <c r="A653" s="127"/>
      <c r="B653" s="211"/>
      <c r="D653" s="211"/>
    </row>
    <row r="654" ht="15.75" customHeight="1">
      <c r="A654" s="127"/>
      <c r="B654" s="211"/>
      <c r="D654" s="211"/>
    </row>
    <row r="655" ht="15.75" customHeight="1">
      <c r="A655" s="127"/>
      <c r="B655" s="211"/>
      <c r="D655" s="211"/>
    </row>
    <row r="656" ht="15.75" customHeight="1">
      <c r="A656" s="127"/>
      <c r="B656" s="211"/>
      <c r="D656" s="211"/>
    </row>
    <row r="657" ht="15.75" customHeight="1">
      <c r="A657" s="127"/>
      <c r="B657" s="211"/>
      <c r="D657" s="211"/>
    </row>
    <row r="658" ht="15.75" customHeight="1">
      <c r="A658" s="127"/>
      <c r="B658" s="211"/>
      <c r="D658" s="211"/>
    </row>
    <row r="659" ht="15.75" customHeight="1">
      <c r="A659" s="127"/>
      <c r="B659" s="211"/>
      <c r="D659" s="211"/>
    </row>
    <row r="660" ht="15.75" customHeight="1">
      <c r="A660" s="127"/>
      <c r="B660" s="211"/>
      <c r="D660" s="211"/>
    </row>
    <row r="661" ht="15.75" customHeight="1">
      <c r="A661" s="127"/>
      <c r="B661" s="211"/>
      <c r="D661" s="211"/>
    </row>
    <row r="662" ht="15.75" customHeight="1">
      <c r="A662" s="127"/>
      <c r="B662" s="211"/>
      <c r="D662" s="211"/>
    </row>
    <row r="663" ht="15.75" customHeight="1">
      <c r="A663" s="127"/>
      <c r="B663" s="211"/>
      <c r="D663" s="211"/>
    </row>
    <row r="664" ht="15.75" customHeight="1">
      <c r="A664" s="127"/>
      <c r="B664" s="211"/>
      <c r="D664" s="211"/>
    </row>
    <row r="665" ht="15.75" customHeight="1">
      <c r="A665" s="127"/>
      <c r="B665" s="211"/>
      <c r="D665" s="211"/>
    </row>
    <row r="666" ht="15.75" customHeight="1">
      <c r="A666" s="127"/>
      <c r="B666" s="211"/>
      <c r="D666" s="211"/>
    </row>
    <row r="667" ht="15.75" customHeight="1">
      <c r="A667" s="127"/>
      <c r="B667" s="211"/>
      <c r="D667" s="211"/>
    </row>
    <row r="668" ht="15.75" customHeight="1">
      <c r="A668" s="127"/>
      <c r="B668" s="211"/>
      <c r="D668" s="211"/>
    </row>
    <row r="669" ht="15.75" customHeight="1">
      <c r="A669" s="127"/>
      <c r="B669" s="211"/>
      <c r="D669" s="211"/>
    </row>
    <row r="670" ht="15.75" customHeight="1">
      <c r="A670" s="127"/>
      <c r="B670" s="211"/>
      <c r="D670" s="211"/>
    </row>
    <row r="671" ht="15.75" customHeight="1">
      <c r="A671" s="127"/>
      <c r="B671" s="211"/>
      <c r="D671" s="211"/>
    </row>
    <row r="672" ht="15.75" customHeight="1">
      <c r="A672" s="127"/>
      <c r="B672" s="211"/>
      <c r="D672" s="211"/>
    </row>
    <row r="673" ht="15.75" customHeight="1">
      <c r="A673" s="127"/>
      <c r="B673" s="211"/>
      <c r="D673" s="211"/>
    </row>
    <row r="674" ht="15.75" customHeight="1">
      <c r="A674" s="127"/>
      <c r="B674" s="211"/>
      <c r="D674" s="211"/>
    </row>
    <row r="675" ht="15.75" customHeight="1">
      <c r="A675" s="127"/>
      <c r="B675" s="211"/>
      <c r="D675" s="211"/>
    </row>
    <row r="676" ht="15.75" customHeight="1">
      <c r="A676" s="127"/>
      <c r="B676" s="211"/>
      <c r="D676" s="211"/>
    </row>
    <row r="677" ht="15.75" customHeight="1">
      <c r="A677" s="127"/>
      <c r="B677" s="211"/>
      <c r="D677" s="211"/>
    </row>
    <row r="678" ht="15.75" customHeight="1">
      <c r="A678" s="127"/>
      <c r="B678" s="211"/>
      <c r="D678" s="211"/>
    </row>
    <row r="679" ht="15.75" customHeight="1">
      <c r="A679" s="127"/>
      <c r="B679" s="211"/>
      <c r="D679" s="211"/>
    </row>
    <row r="680" ht="15.75" customHeight="1">
      <c r="A680" s="127"/>
      <c r="B680" s="211"/>
      <c r="D680" s="211"/>
    </row>
    <row r="681" ht="15.75" customHeight="1">
      <c r="A681" s="127"/>
      <c r="B681" s="211"/>
      <c r="D681" s="211"/>
    </row>
    <row r="682" ht="15.75" customHeight="1">
      <c r="A682" s="127"/>
      <c r="B682" s="211"/>
      <c r="D682" s="211"/>
    </row>
    <row r="683" ht="15.75" customHeight="1">
      <c r="A683" s="127"/>
      <c r="B683" s="211"/>
      <c r="D683" s="211"/>
    </row>
    <row r="684" ht="15.75" customHeight="1">
      <c r="A684" s="127"/>
      <c r="B684" s="211"/>
      <c r="D684" s="211"/>
    </row>
    <row r="685" ht="15.75" customHeight="1">
      <c r="A685" s="127"/>
      <c r="B685" s="211"/>
      <c r="D685" s="211"/>
    </row>
    <row r="686" ht="15.75" customHeight="1">
      <c r="A686" s="127"/>
      <c r="B686" s="211"/>
      <c r="D686" s="211"/>
    </row>
    <row r="687" ht="15.75" customHeight="1">
      <c r="A687" s="127"/>
      <c r="B687" s="211"/>
      <c r="D687" s="211"/>
    </row>
    <row r="688" ht="15.75" customHeight="1">
      <c r="A688" s="127"/>
      <c r="B688" s="211"/>
      <c r="D688" s="211"/>
    </row>
    <row r="689" ht="15.75" customHeight="1">
      <c r="A689" s="127"/>
      <c r="B689" s="211"/>
      <c r="D689" s="211"/>
    </row>
    <row r="690" ht="15.75" customHeight="1">
      <c r="A690" s="127"/>
      <c r="B690" s="211"/>
      <c r="D690" s="211"/>
    </row>
    <row r="691" ht="15.75" customHeight="1">
      <c r="A691" s="127"/>
      <c r="B691" s="211"/>
      <c r="D691" s="211"/>
    </row>
    <row r="692" ht="15.75" customHeight="1">
      <c r="A692" s="127"/>
      <c r="B692" s="211"/>
      <c r="D692" s="211"/>
    </row>
    <row r="693" ht="15.75" customHeight="1">
      <c r="A693" s="127"/>
      <c r="B693" s="211"/>
      <c r="D693" s="211"/>
    </row>
    <row r="694" ht="15.75" customHeight="1">
      <c r="A694" s="127"/>
      <c r="B694" s="211"/>
      <c r="D694" s="211"/>
    </row>
    <row r="695" ht="15.75" customHeight="1">
      <c r="A695" s="127"/>
      <c r="B695" s="211"/>
      <c r="D695" s="211"/>
    </row>
    <row r="696" ht="15.75" customHeight="1">
      <c r="A696" s="127"/>
      <c r="B696" s="211"/>
      <c r="D696" s="211"/>
    </row>
    <row r="697" ht="15.75" customHeight="1">
      <c r="A697" s="127"/>
      <c r="B697" s="211"/>
      <c r="D697" s="211"/>
    </row>
    <row r="698" ht="15.75" customHeight="1">
      <c r="A698" s="127"/>
      <c r="B698" s="211"/>
      <c r="D698" s="211"/>
    </row>
    <row r="699" ht="15.75" customHeight="1">
      <c r="A699" s="127"/>
      <c r="B699" s="211"/>
      <c r="D699" s="211"/>
    </row>
    <row r="700" ht="15.75" customHeight="1">
      <c r="A700" s="127"/>
      <c r="B700" s="211"/>
      <c r="D700" s="211"/>
    </row>
    <row r="701" ht="15.75" customHeight="1">
      <c r="A701" s="127"/>
      <c r="B701" s="211"/>
      <c r="D701" s="211"/>
    </row>
    <row r="702" ht="15.75" customHeight="1">
      <c r="A702" s="127"/>
      <c r="B702" s="211"/>
      <c r="D702" s="211"/>
    </row>
    <row r="703" ht="15.75" customHeight="1">
      <c r="A703" s="127"/>
      <c r="B703" s="211"/>
      <c r="D703" s="211"/>
    </row>
    <row r="704" ht="15.75" customHeight="1">
      <c r="A704" s="127"/>
      <c r="B704" s="211"/>
      <c r="D704" s="211"/>
    </row>
    <row r="705" ht="15.75" customHeight="1">
      <c r="A705" s="127"/>
      <c r="B705" s="211"/>
      <c r="D705" s="211"/>
    </row>
    <row r="706" ht="15.75" customHeight="1">
      <c r="A706" s="127"/>
      <c r="B706" s="211"/>
      <c r="D706" s="211"/>
    </row>
    <row r="707" ht="15.75" customHeight="1">
      <c r="A707" s="127"/>
      <c r="B707" s="211"/>
      <c r="D707" s="211"/>
    </row>
    <row r="708" ht="15.75" customHeight="1">
      <c r="A708" s="127"/>
      <c r="B708" s="211"/>
      <c r="D708" s="211"/>
    </row>
    <row r="709" ht="15.75" customHeight="1">
      <c r="A709" s="127"/>
      <c r="B709" s="211"/>
      <c r="D709" s="211"/>
    </row>
    <row r="710" ht="15.75" customHeight="1">
      <c r="A710" s="127"/>
      <c r="B710" s="211"/>
      <c r="D710" s="211"/>
    </row>
    <row r="711" ht="15.75" customHeight="1">
      <c r="A711" s="127"/>
      <c r="B711" s="211"/>
      <c r="D711" s="211"/>
    </row>
    <row r="712" ht="15.75" customHeight="1">
      <c r="A712" s="127"/>
      <c r="B712" s="211"/>
      <c r="D712" s="211"/>
    </row>
    <row r="713" ht="15.75" customHeight="1">
      <c r="A713" s="127"/>
      <c r="B713" s="211"/>
      <c r="D713" s="211"/>
    </row>
    <row r="714" ht="15.75" customHeight="1">
      <c r="A714" s="127"/>
      <c r="B714" s="211"/>
      <c r="D714" s="211"/>
    </row>
    <row r="715" ht="15.75" customHeight="1">
      <c r="A715" s="127"/>
      <c r="B715" s="211"/>
      <c r="D715" s="211"/>
    </row>
    <row r="716" ht="15.75" customHeight="1">
      <c r="A716" s="127"/>
      <c r="B716" s="211"/>
      <c r="D716" s="211"/>
    </row>
    <row r="717" ht="15.75" customHeight="1">
      <c r="A717" s="127"/>
      <c r="B717" s="211"/>
      <c r="D717" s="211"/>
    </row>
    <row r="718" ht="15.75" customHeight="1">
      <c r="A718" s="127"/>
      <c r="B718" s="211"/>
      <c r="D718" s="211"/>
    </row>
    <row r="719" ht="15.75" customHeight="1">
      <c r="A719" s="127"/>
      <c r="B719" s="211"/>
      <c r="D719" s="211"/>
    </row>
    <row r="720" ht="15.75" customHeight="1">
      <c r="A720" s="127"/>
      <c r="B720" s="211"/>
      <c r="D720" s="211"/>
    </row>
    <row r="721" ht="15.75" customHeight="1">
      <c r="A721" s="127"/>
      <c r="B721" s="211"/>
      <c r="D721" s="211"/>
    </row>
    <row r="722" ht="15.75" customHeight="1">
      <c r="A722" s="127"/>
      <c r="B722" s="211"/>
      <c r="D722" s="211"/>
    </row>
    <row r="723" ht="15.75" customHeight="1">
      <c r="A723" s="127"/>
      <c r="B723" s="211"/>
      <c r="D723" s="211"/>
    </row>
    <row r="724" ht="15.75" customHeight="1">
      <c r="A724" s="127"/>
      <c r="B724" s="211"/>
      <c r="D724" s="211"/>
    </row>
    <row r="725" ht="15.75" customHeight="1">
      <c r="A725" s="127"/>
      <c r="B725" s="211"/>
      <c r="D725" s="211"/>
    </row>
    <row r="726" ht="15.75" customHeight="1">
      <c r="A726" s="127"/>
      <c r="B726" s="211"/>
      <c r="D726" s="211"/>
    </row>
    <row r="727" ht="15.75" customHeight="1">
      <c r="A727" s="127"/>
      <c r="B727" s="211"/>
      <c r="D727" s="211"/>
    </row>
    <row r="728" ht="15.75" customHeight="1">
      <c r="A728" s="127"/>
      <c r="B728" s="211"/>
      <c r="D728" s="211"/>
    </row>
    <row r="729" ht="15.75" customHeight="1">
      <c r="A729" s="127"/>
      <c r="B729" s="211"/>
      <c r="D729" s="211"/>
    </row>
    <row r="730" ht="15.75" customHeight="1">
      <c r="A730" s="127"/>
      <c r="B730" s="211"/>
      <c r="D730" s="211"/>
    </row>
    <row r="731" ht="15.75" customHeight="1">
      <c r="A731" s="127"/>
      <c r="B731" s="211"/>
      <c r="D731" s="211"/>
    </row>
    <row r="732" ht="15.75" customHeight="1">
      <c r="A732" s="127"/>
      <c r="B732" s="211"/>
      <c r="D732" s="211"/>
    </row>
    <row r="733" ht="15.75" customHeight="1">
      <c r="A733" s="127"/>
      <c r="B733" s="211"/>
      <c r="D733" s="211"/>
    </row>
    <row r="734" ht="15.75" customHeight="1">
      <c r="A734" s="127"/>
      <c r="B734" s="211"/>
      <c r="D734" s="211"/>
    </row>
    <row r="735" ht="15.75" customHeight="1">
      <c r="A735" s="127"/>
      <c r="B735" s="211"/>
      <c r="D735" s="211"/>
    </row>
    <row r="736" ht="15.75" customHeight="1">
      <c r="A736" s="127"/>
      <c r="B736" s="211"/>
      <c r="D736" s="211"/>
    </row>
    <row r="737" ht="15.75" customHeight="1">
      <c r="A737" s="127"/>
      <c r="B737" s="211"/>
      <c r="D737" s="211"/>
    </row>
    <row r="738" ht="15.75" customHeight="1">
      <c r="A738" s="127"/>
      <c r="B738" s="211"/>
      <c r="D738" s="211"/>
    </row>
    <row r="739" ht="15.75" customHeight="1">
      <c r="A739" s="127"/>
      <c r="B739" s="211"/>
      <c r="D739" s="211"/>
    </row>
    <row r="740" ht="15.75" customHeight="1">
      <c r="A740" s="127"/>
      <c r="B740" s="211"/>
      <c r="D740" s="211"/>
    </row>
    <row r="741" ht="15.75" customHeight="1">
      <c r="A741" s="127"/>
      <c r="B741" s="211"/>
      <c r="D741" s="211"/>
    </row>
    <row r="742" ht="15.75" customHeight="1">
      <c r="A742" s="127"/>
      <c r="B742" s="211"/>
      <c r="D742" s="211"/>
    </row>
    <row r="743" ht="15.75" customHeight="1">
      <c r="A743" s="127"/>
      <c r="B743" s="211"/>
      <c r="D743" s="211"/>
    </row>
    <row r="744" ht="15.75" customHeight="1">
      <c r="A744" s="127"/>
      <c r="B744" s="211"/>
      <c r="D744" s="211"/>
    </row>
    <row r="745" ht="15.75" customHeight="1">
      <c r="A745" s="127"/>
      <c r="B745" s="211"/>
      <c r="D745" s="211"/>
    </row>
    <row r="746" ht="15.75" customHeight="1">
      <c r="A746" s="127"/>
      <c r="B746" s="211"/>
      <c r="D746" s="211"/>
    </row>
    <row r="747" ht="15.75" customHeight="1">
      <c r="A747" s="127"/>
      <c r="B747" s="211"/>
      <c r="D747" s="211"/>
    </row>
    <row r="748" ht="15.75" customHeight="1">
      <c r="A748" s="127"/>
      <c r="B748" s="211"/>
      <c r="D748" s="211"/>
    </row>
    <row r="749" ht="15.75" customHeight="1">
      <c r="A749" s="127"/>
      <c r="B749" s="211"/>
      <c r="D749" s="211"/>
    </row>
    <row r="750" ht="15.75" customHeight="1">
      <c r="A750" s="127"/>
      <c r="B750" s="211"/>
      <c r="D750" s="211"/>
    </row>
    <row r="751" ht="15.75" customHeight="1">
      <c r="A751" s="127"/>
      <c r="B751" s="211"/>
      <c r="D751" s="211"/>
    </row>
    <row r="752" ht="15.75" customHeight="1">
      <c r="A752" s="127"/>
      <c r="B752" s="211"/>
      <c r="D752" s="211"/>
    </row>
    <row r="753" ht="15.75" customHeight="1">
      <c r="A753" s="127"/>
      <c r="B753" s="211"/>
      <c r="D753" s="211"/>
    </row>
    <row r="754" ht="15.75" customHeight="1">
      <c r="A754" s="127"/>
      <c r="B754" s="211"/>
      <c r="D754" s="211"/>
    </row>
    <row r="755" ht="15.75" customHeight="1">
      <c r="A755" s="127"/>
      <c r="B755" s="211"/>
      <c r="D755" s="211"/>
    </row>
    <row r="756" ht="15.75" customHeight="1">
      <c r="A756" s="127"/>
      <c r="B756" s="211"/>
      <c r="D756" s="211"/>
    </row>
    <row r="757" ht="15.75" customHeight="1">
      <c r="A757" s="127"/>
      <c r="B757" s="211"/>
      <c r="D757" s="211"/>
    </row>
    <row r="758" ht="15.75" customHeight="1">
      <c r="A758" s="127"/>
      <c r="B758" s="211"/>
      <c r="D758" s="211"/>
    </row>
    <row r="759" ht="15.75" customHeight="1">
      <c r="A759" s="127"/>
      <c r="B759" s="211"/>
      <c r="D759" s="211"/>
    </row>
    <row r="760" ht="15.75" customHeight="1">
      <c r="A760" s="127"/>
      <c r="B760" s="211"/>
      <c r="D760" s="211"/>
    </row>
    <row r="761" ht="15.75" customHeight="1">
      <c r="A761" s="127"/>
      <c r="B761" s="211"/>
      <c r="D761" s="211"/>
    </row>
    <row r="762" ht="15.75" customHeight="1">
      <c r="A762" s="127"/>
      <c r="B762" s="211"/>
      <c r="D762" s="211"/>
    </row>
    <row r="763" ht="15.75" customHeight="1">
      <c r="A763" s="127"/>
      <c r="B763" s="211"/>
      <c r="D763" s="211"/>
    </row>
    <row r="764" ht="15.75" customHeight="1">
      <c r="A764" s="127"/>
      <c r="B764" s="211"/>
      <c r="D764" s="211"/>
    </row>
    <row r="765" ht="15.75" customHeight="1">
      <c r="A765" s="127"/>
      <c r="B765" s="211"/>
      <c r="D765" s="211"/>
    </row>
    <row r="766" ht="15.75" customHeight="1">
      <c r="A766" s="127"/>
      <c r="B766" s="211"/>
      <c r="D766" s="211"/>
    </row>
    <row r="767" ht="15.75" customHeight="1">
      <c r="A767" s="127"/>
      <c r="B767" s="211"/>
      <c r="D767" s="211"/>
    </row>
    <row r="768" ht="15.75" customHeight="1">
      <c r="A768" s="127"/>
      <c r="B768" s="211"/>
      <c r="D768" s="211"/>
    </row>
    <row r="769" ht="15.75" customHeight="1">
      <c r="A769" s="127"/>
      <c r="B769" s="211"/>
      <c r="D769" s="211"/>
    </row>
    <row r="770" ht="15.75" customHeight="1">
      <c r="A770" s="127"/>
      <c r="B770" s="211"/>
      <c r="D770" s="211"/>
    </row>
    <row r="771" ht="15.75" customHeight="1">
      <c r="A771" s="127"/>
      <c r="B771" s="211"/>
      <c r="D771" s="211"/>
    </row>
    <row r="772" ht="15.75" customHeight="1">
      <c r="A772" s="127"/>
      <c r="B772" s="211"/>
      <c r="D772" s="211"/>
    </row>
    <row r="773" ht="15.75" customHeight="1">
      <c r="A773" s="127"/>
      <c r="B773" s="211"/>
      <c r="D773" s="211"/>
    </row>
    <row r="774" ht="15.75" customHeight="1">
      <c r="A774" s="127"/>
      <c r="B774" s="211"/>
      <c r="D774" s="211"/>
    </row>
    <row r="775" ht="15.75" customHeight="1">
      <c r="A775" s="127"/>
      <c r="B775" s="211"/>
      <c r="D775" s="211"/>
    </row>
    <row r="776" ht="15.75" customHeight="1">
      <c r="A776" s="127"/>
      <c r="B776" s="211"/>
      <c r="D776" s="211"/>
    </row>
    <row r="777" ht="15.75" customHeight="1">
      <c r="A777" s="127"/>
      <c r="B777" s="211"/>
      <c r="D777" s="211"/>
    </row>
    <row r="778" ht="15.75" customHeight="1">
      <c r="A778" s="127"/>
      <c r="B778" s="211"/>
      <c r="D778" s="211"/>
    </row>
    <row r="779" ht="15.75" customHeight="1">
      <c r="A779" s="127"/>
      <c r="B779" s="211"/>
      <c r="D779" s="211"/>
    </row>
    <row r="780" ht="15.75" customHeight="1">
      <c r="A780" s="127"/>
      <c r="B780" s="211"/>
      <c r="D780" s="211"/>
    </row>
    <row r="781" ht="15.75" customHeight="1">
      <c r="A781" s="127"/>
      <c r="B781" s="211"/>
      <c r="D781" s="211"/>
    </row>
    <row r="782" ht="15.75" customHeight="1">
      <c r="A782" s="127"/>
      <c r="B782" s="211"/>
      <c r="D782" s="211"/>
    </row>
    <row r="783" ht="15.75" customHeight="1">
      <c r="A783" s="127"/>
      <c r="B783" s="211"/>
      <c r="D783" s="211"/>
    </row>
    <row r="784" ht="15.75" customHeight="1">
      <c r="A784" s="127"/>
      <c r="B784" s="211"/>
      <c r="D784" s="211"/>
    </row>
    <row r="785" ht="15.75" customHeight="1">
      <c r="A785" s="127"/>
      <c r="B785" s="211"/>
      <c r="D785" s="211"/>
    </row>
    <row r="786" ht="15.75" customHeight="1">
      <c r="A786" s="127"/>
      <c r="B786" s="211"/>
      <c r="D786" s="211"/>
    </row>
    <row r="787" ht="15.75" customHeight="1">
      <c r="A787" s="127"/>
      <c r="B787" s="211"/>
      <c r="D787" s="211"/>
    </row>
    <row r="788" ht="15.75" customHeight="1">
      <c r="A788" s="127"/>
      <c r="B788" s="211"/>
      <c r="D788" s="211"/>
    </row>
    <row r="789" ht="15.75" customHeight="1">
      <c r="A789" s="127"/>
      <c r="B789" s="211"/>
      <c r="D789" s="211"/>
    </row>
    <row r="790" ht="15.75" customHeight="1">
      <c r="A790" s="127"/>
      <c r="B790" s="211"/>
      <c r="D790" s="211"/>
    </row>
    <row r="791" ht="15.75" customHeight="1">
      <c r="A791" s="127"/>
      <c r="B791" s="211"/>
      <c r="D791" s="211"/>
    </row>
    <row r="792" ht="15.75" customHeight="1">
      <c r="A792" s="127"/>
      <c r="B792" s="211"/>
      <c r="D792" s="211"/>
    </row>
    <row r="793" ht="15.75" customHeight="1">
      <c r="A793" s="127"/>
      <c r="B793" s="211"/>
      <c r="D793" s="211"/>
    </row>
    <row r="794" ht="15.75" customHeight="1">
      <c r="A794" s="127"/>
      <c r="B794" s="211"/>
      <c r="D794" s="211"/>
    </row>
    <row r="795" ht="15.75" customHeight="1">
      <c r="A795" s="127"/>
      <c r="B795" s="211"/>
      <c r="D795" s="211"/>
    </row>
    <row r="796" ht="15.75" customHeight="1">
      <c r="A796" s="127"/>
      <c r="B796" s="211"/>
      <c r="D796" s="211"/>
    </row>
    <row r="797" ht="15.75" customHeight="1">
      <c r="A797" s="127"/>
      <c r="B797" s="211"/>
      <c r="D797" s="211"/>
    </row>
    <row r="798" ht="15.75" customHeight="1">
      <c r="A798" s="127"/>
      <c r="B798" s="211"/>
      <c r="D798" s="211"/>
    </row>
    <row r="799" ht="15.75" customHeight="1">
      <c r="A799" s="127"/>
      <c r="B799" s="211"/>
      <c r="D799" s="211"/>
    </row>
    <row r="800" ht="15.75" customHeight="1">
      <c r="A800" s="127"/>
      <c r="B800" s="211"/>
      <c r="D800" s="211"/>
    </row>
    <row r="801" ht="15.75" customHeight="1">
      <c r="A801" s="127"/>
      <c r="B801" s="211"/>
      <c r="D801" s="211"/>
    </row>
    <row r="802" ht="15.75" customHeight="1">
      <c r="A802" s="127"/>
      <c r="B802" s="211"/>
      <c r="D802" s="211"/>
    </row>
    <row r="803" ht="15.75" customHeight="1">
      <c r="A803" s="127"/>
      <c r="B803" s="211"/>
      <c r="D803" s="211"/>
    </row>
    <row r="804" ht="15.75" customHeight="1">
      <c r="A804" s="127"/>
      <c r="B804" s="211"/>
      <c r="D804" s="211"/>
    </row>
    <row r="805" ht="15.75" customHeight="1">
      <c r="A805" s="127"/>
      <c r="B805" s="211"/>
      <c r="D805" s="211"/>
    </row>
    <row r="806" ht="15.75" customHeight="1">
      <c r="A806" s="127"/>
      <c r="B806" s="211"/>
      <c r="D806" s="211"/>
    </row>
    <row r="807" ht="15.75" customHeight="1">
      <c r="A807" s="127"/>
      <c r="B807" s="211"/>
      <c r="D807" s="211"/>
    </row>
    <row r="808" ht="15.75" customHeight="1">
      <c r="A808" s="127"/>
      <c r="B808" s="211"/>
      <c r="D808" s="211"/>
    </row>
    <row r="809" ht="15.75" customHeight="1">
      <c r="A809" s="127"/>
      <c r="B809" s="211"/>
      <c r="D809" s="211"/>
    </row>
    <row r="810" ht="15.75" customHeight="1">
      <c r="A810" s="127"/>
      <c r="B810" s="211"/>
      <c r="D810" s="211"/>
    </row>
    <row r="811" ht="15.75" customHeight="1">
      <c r="A811" s="127"/>
      <c r="B811" s="211"/>
      <c r="D811" s="211"/>
    </row>
    <row r="812" ht="15.75" customHeight="1">
      <c r="A812" s="127"/>
      <c r="B812" s="211"/>
      <c r="D812" s="211"/>
    </row>
    <row r="813" ht="15.75" customHeight="1">
      <c r="A813" s="127"/>
      <c r="B813" s="211"/>
      <c r="D813" s="211"/>
    </row>
    <row r="814" ht="15.75" customHeight="1">
      <c r="A814" s="127"/>
      <c r="B814" s="211"/>
      <c r="D814" s="211"/>
    </row>
    <row r="815" ht="15.75" customHeight="1">
      <c r="A815" s="127"/>
      <c r="B815" s="211"/>
      <c r="D815" s="211"/>
    </row>
    <row r="816" ht="15.75" customHeight="1">
      <c r="A816" s="127"/>
      <c r="B816" s="211"/>
      <c r="D816" s="211"/>
    </row>
    <row r="817" ht="15.75" customHeight="1">
      <c r="A817" s="127"/>
      <c r="B817" s="211"/>
      <c r="D817" s="211"/>
    </row>
    <row r="818" ht="15.75" customHeight="1">
      <c r="A818" s="127"/>
      <c r="B818" s="211"/>
      <c r="D818" s="211"/>
    </row>
    <row r="819" ht="15.75" customHeight="1">
      <c r="A819" s="127"/>
      <c r="B819" s="211"/>
      <c r="D819" s="211"/>
    </row>
    <row r="820" ht="15.75" customHeight="1">
      <c r="A820" s="127"/>
      <c r="B820" s="211"/>
      <c r="D820" s="211"/>
    </row>
    <row r="821" ht="15.75" customHeight="1">
      <c r="A821" s="127"/>
      <c r="B821" s="211"/>
      <c r="D821" s="211"/>
    </row>
    <row r="822" ht="15.75" customHeight="1">
      <c r="A822" s="127"/>
      <c r="B822" s="211"/>
      <c r="D822" s="211"/>
    </row>
    <row r="823" ht="15.75" customHeight="1">
      <c r="A823" s="127"/>
      <c r="B823" s="211"/>
      <c r="D823" s="211"/>
    </row>
    <row r="824" ht="15.75" customHeight="1">
      <c r="A824" s="127"/>
      <c r="B824" s="211"/>
      <c r="D824" s="211"/>
    </row>
    <row r="825" ht="15.75" customHeight="1">
      <c r="A825" s="127"/>
      <c r="B825" s="211"/>
      <c r="D825" s="211"/>
    </row>
    <row r="826" ht="15.75" customHeight="1">
      <c r="A826" s="127"/>
      <c r="B826" s="211"/>
      <c r="D826" s="211"/>
    </row>
    <row r="827" ht="15.75" customHeight="1">
      <c r="A827" s="127"/>
      <c r="B827" s="211"/>
      <c r="D827" s="211"/>
    </row>
    <row r="828" ht="15.75" customHeight="1">
      <c r="A828" s="127"/>
      <c r="B828" s="211"/>
      <c r="D828" s="211"/>
    </row>
    <row r="829" ht="15.75" customHeight="1">
      <c r="A829" s="127"/>
      <c r="B829" s="211"/>
      <c r="D829" s="211"/>
    </row>
    <row r="830" ht="15.75" customHeight="1">
      <c r="A830" s="127"/>
      <c r="B830" s="211"/>
      <c r="D830" s="211"/>
    </row>
    <row r="831" ht="15.75" customHeight="1">
      <c r="A831" s="127"/>
      <c r="B831" s="211"/>
      <c r="D831" s="211"/>
    </row>
    <row r="832" ht="15.75" customHeight="1">
      <c r="A832" s="127"/>
      <c r="B832" s="211"/>
      <c r="D832" s="211"/>
    </row>
    <row r="833" ht="15.75" customHeight="1">
      <c r="A833" s="127"/>
      <c r="B833" s="211"/>
      <c r="D833" s="211"/>
    </row>
    <row r="834" ht="15.75" customHeight="1">
      <c r="A834" s="127"/>
      <c r="B834" s="211"/>
      <c r="D834" s="211"/>
    </row>
    <row r="835" ht="15.75" customHeight="1">
      <c r="A835" s="127"/>
      <c r="B835" s="211"/>
      <c r="D835" s="211"/>
    </row>
    <row r="836" ht="15.75" customHeight="1">
      <c r="A836" s="127"/>
      <c r="B836" s="211"/>
      <c r="D836" s="211"/>
    </row>
    <row r="837" ht="15.75" customHeight="1">
      <c r="A837" s="127"/>
      <c r="B837" s="211"/>
      <c r="D837" s="211"/>
    </row>
    <row r="838" ht="15.75" customHeight="1">
      <c r="A838" s="127"/>
      <c r="B838" s="211"/>
      <c r="D838" s="211"/>
    </row>
    <row r="839" ht="15.75" customHeight="1">
      <c r="A839" s="127"/>
      <c r="B839" s="211"/>
      <c r="D839" s="211"/>
    </row>
    <row r="840" ht="15.75" customHeight="1">
      <c r="A840" s="127"/>
      <c r="B840" s="211"/>
      <c r="D840" s="211"/>
    </row>
    <row r="841" ht="15.75" customHeight="1">
      <c r="A841" s="127"/>
      <c r="B841" s="211"/>
      <c r="D841" s="211"/>
    </row>
    <row r="842" ht="15.75" customHeight="1">
      <c r="A842" s="127"/>
      <c r="B842" s="211"/>
      <c r="D842" s="211"/>
    </row>
    <row r="843" ht="15.75" customHeight="1">
      <c r="A843" s="127"/>
      <c r="B843" s="211"/>
      <c r="D843" s="211"/>
    </row>
    <row r="844" ht="15.75" customHeight="1">
      <c r="A844" s="127"/>
      <c r="B844" s="211"/>
      <c r="D844" s="211"/>
    </row>
    <row r="845" ht="15.75" customHeight="1">
      <c r="A845" s="127"/>
      <c r="B845" s="211"/>
      <c r="D845" s="211"/>
    </row>
    <row r="846" ht="15.75" customHeight="1">
      <c r="A846" s="127"/>
      <c r="B846" s="211"/>
      <c r="D846" s="211"/>
    </row>
    <row r="847" ht="15.75" customHeight="1">
      <c r="A847" s="127"/>
      <c r="B847" s="211"/>
      <c r="D847" s="211"/>
    </row>
    <row r="848" ht="15.75" customHeight="1">
      <c r="A848" s="127"/>
      <c r="B848" s="211"/>
      <c r="D848" s="211"/>
    </row>
    <row r="849" ht="15.75" customHeight="1">
      <c r="A849" s="127"/>
      <c r="B849" s="211"/>
      <c r="D849" s="211"/>
    </row>
    <row r="850" ht="15.75" customHeight="1">
      <c r="A850" s="127"/>
      <c r="B850" s="211"/>
      <c r="D850" s="211"/>
    </row>
    <row r="851" ht="15.75" customHeight="1">
      <c r="A851" s="127"/>
      <c r="B851" s="211"/>
      <c r="D851" s="211"/>
    </row>
    <row r="852" ht="15.75" customHeight="1">
      <c r="A852" s="127"/>
      <c r="B852" s="211"/>
      <c r="D852" s="211"/>
    </row>
    <row r="853" ht="15.75" customHeight="1">
      <c r="A853" s="127"/>
      <c r="B853" s="211"/>
      <c r="D853" s="211"/>
    </row>
    <row r="854" ht="15.75" customHeight="1">
      <c r="A854" s="127"/>
      <c r="B854" s="211"/>
      <c r="D854" s="211"/>
    </row>
    <row r="855" ht="15.75" customHeight="1">
      <c r="A855" s="127"/>
      <c r="B855" s="211"/>
      <c r="D855" s="211"/>
    </row>
    <row r="856" ht="15.75" customHeight="1">
      <c r="A856" s="127"/>
      <c r="B856" s="211"/>
      <c r="D856" s="211"/>
    </row>
    <row r="857" ht="15.75" customHeight="1">
      <c r="A857" s="127"/>
      <c r="B857" s="211"/>
      <c r="D857" s="211"/>
    </row>
    <row r="858" ht="15.75" customHeight="1">
      <c r="A858" s="127"/>
      <c r="B858" s="211"/>
      <c r="D858" s="211"/>
    </row>
    <row r="859" ht="15.75" customHeight="1">
      <c r="A859" s="127"/>
      <c r="B859" s="211"/>
      <c r="D859" s="211"/>
    </row>
    <row r="860" ht="15.75" customHeight="1">
      <c r="A860" s="127"/>
      <c r="B860" s="211"/>
      <c r="D860" s="211"/>
    </row>
    <row r="861" ht="15.75" customHeight="1">
      <c r="A861" s="127"/>
      <c r="B861" s="211"/>
      <c r="D861" s="211"/>
    </row>
    <row r="862" ht="15.75" customHeight="1">
      <c r="A862" s="127"/>
      <c r="B862" s="211"/>
      <c r="D862" s="211"/>
    </row>
    <row r="863" ht="15.75" customHeight="1">
      <c r="A863" s="127"/>
      <c r="B863" s="211"/>
      <c r="D863" s="211"/>
    </row>
    <row r="864" ht="15.75" customHeight="1">
      <c r="A864" s="127"/>
      <c r="B864" s="211"/>
      <c r="D864" s="211"/>
    </row>
    <row r="865" ht="15.75" customHeight="1">
      <c r="A865" s="127"/>
      <c r="B865" s="211"/>
      <c r="D865" s="211"/>
    </row>
    <row r="866" ht="15.75" customHeight="1">
      <c r="A866" s="127"/>
      <c r="B866" s="211"/>
      <c r="D866" s="211"/>
    </row>
    <row r="867" ht="15.75" customHeight="1">
      <c r="A867" s="127"/>
      <c r="B867" s="211"/>
      <c r="D867" s="211"/>
    </row>
    <row r="868" ht="15.75" customHeight="1">
      <c r="A868" s="127"/>
      <c r="B868" s="211"/>
      <c r="D868" s="211"/>
    </row>
    <row r="869" ht="15.75" customHeight="1">
      <c r="A869" s="127"/>
      <c r="B869" s="211"/>
      <c r="D869" s="211"/>
    </row>
    <row r="870" ht="15.75" customHeight="1">
      <c r="A870" s="127"/>
      <c r="B870" s="211"/>
      <c r="D870" s="211"/>
    </row>
    <row r="871" ht="15.75" customHeight="1">
      <c r="A871" s="127"/>
      <c r="B871" s="211"/>
      <c r="D871" s="211"/>
    </row>
    <row r="872" ht="15.75" customHeight="1">
      <c r="A872" s="127"/>
      <c r="B872" s="211"/>
      <c r="D872" s="211"/>
    </row>
    <row r="873" ht="15.75" customHeight="1">
      <c r="A873" s="127"/>
      <c r="B873" s="211"/>
      <c r="D873" s="211"/>
    </row>
    <row r="874" ht="15.75" customHeight="1">
      <c r="A874" s="127"/>
      <c r="B874" s="211"/>
      <c r="D874" s="211"/>
    </row>
    <row r="875" ht="15.75" customHeight="1">
      <c r="A875" s="127"/>
      <c r="B875" s="211"/>
      <c r="D875" s="211"/>
    </row>
    <row r="876" ht="15.75" customHeight="1">
      <c r="A876" s="127"/>
      <c r="B876" s="211"/>
      <c r="D876" s="211"/>
    </row>
    <row r="877" ht="15.75" customHeight="1">
      <c r="A877" s="127"/>
      <c r="B877" s="211"/>
      <c r="D877" s="211"/>
    </row>
    <row r="878" ht="15.75" customHeight="1">
      <c r="A878" s="127"/>
      <c r="B878" s="211"/>
      <c r="D878" s="211"/>
    </row>
    <row r="879" ht="15.75" customHeight="1">
      <c r="A879" s="127"/>
      <c r="B879" s="211"/>
      <c r="D879" s="211"/>
    </row>
    <row r="880" ht="15.75" customHeight="1">
      <c r="A880" s="127"/>
      <c r="B880" s="211"/>
      <c r="D880" s="211"/>
    </row>
    <row r="881" ht="15.75" customHeight="1">
      <c r="A881" s="127"/>
      <c r="B881" s="211"/>
      <c r="D881" s="211"/>
    </row>
    <row r="882" ht="15.75" customHeight="1">
      <c r="A882" s="127"/>
      <c r="B882" s="211"/>
      <c r="D882" s="211"/>
    </row>
    <row r="883" ht="15.75" customHeight="1">
      <c r="A883" s="127"/>
      <c r="B883" s="211"/>
      <c r="D883" s="211"/>
    </row>
    <row r="884" ht="15.75" customHeight="1">
      <c r="A884" s="127"/>
      <c r="B884" s="211"/>
      <c r="D884" s="211"/>
    </row>
    <row r="885" ht="15.75" customHeight="1">
      <c r="A885" s="127"/>
      <c r="B885" s="211"/>
      <c r="D885" s="211"/>
    </row>
    <row r="886" ht="15.75" customHeight="1">
      <c r="A886" s="127"/>
      <c r="B886" s="211"/>
      <c r="D886" s="211"/>
    </row>
    <row r="887" ht="15.75" customHeight="1">
      <c r="A887" s="127"/>
      <c r="B887" s="211"/>
      <c r="D887" s="211"/>
    </row>
    <row r="888" ht="15.75" customHeight="1">
      <c r="A888" s="127"/>
      <c r="B888" s="211"/>
      <c r="D888" s="211"/>
    </row>
    <row r="889" ht="15.75" customHeight="1">
      <c r="A889" s="127"/>
      <c r="B889" s="211"/>
      <c r="D889" s="211"/>
    </row>
    <row r="890" ht="15.75" customHeight="1">
      <c r="A890" s="127"/>
      <c r="B890" s="211"/>
      <c r="D890" s="211"/>
    </row>
    <row r="891" ht="15.75" customHeight="1">
      <c r="A891" s="127"/>
      <c r="B891" s="211"/>
      <c r="D891" s="211"/>
    </row>
    <row r="892" ht="15.75" customHeight="1">
      <c r="A892" s="127"/>
      <c r="B892" s="211"/>
      <c r="D892" s="211"/>
    </row>
    <row r="893" ht="15.75" customHeight="1">
      <c r="A893" s="127"/>
      <c r="B893" s="211"/>
      <c r="D893" s="211"/>
    </row>
    <row r="894" ht="15.75" customHeight="1">
      <c r="A894" s="127"/>
      <c r="B894" s="211"/>
      <c r="D894" s="211"/>
    </row>
    <row r="895" ht="15.75" customHeight="1">
      <c r="A895" s="127"/>
      <c r="B895" s="211"/>
      <c r="D895" s="211"/>
    </row>
    <row r="896" ht="15.75" customHeight="1">
      <c r="A896" s="127"/>
      <c r="B896" s="211"/>
      <c r="D896" s="211"/>
    </row>
    <row r="897" ht="15.75" customHeight="1">
      <c r="A897" s="127"/>
      <c r="B897" s="211"/>
      <c r="D897" s="211"/>
    </row>
    <row r="898" ht="15.75" customHeight="1">
      <c r="A898" s="127"/>
      <c r="B898" s="211"/>
      <c r="D898" s="211"/>
    </row>
    <row r="899" ht="15.75" customHeight="1">
      <c r="A899" s="127"/>
      <c r="B899" s="211"/>
      <c r="D899" s="211"/>
    </row>
    <row r="900" ht="15.75" customHeight="1">
      <c r="A900" s="127"/>
      <c r="B900" s="211"/>
      <c r="D900" s="211"/>
    </row>
    <row r="901" ht="15.75" customHeight="1">
      <c r="A901" s="127"/>
      <c r="B901" s="211"/>
      <c r="D901" s="211"/>
    </row>
    <row r="902" ht="15.75" customHeight="1">
      <c r="A902" s="127"/>
      <c r="B902" s="211"/>
      <c r="D902" s="211"/>
    </row>
    <row r="903" ht="15.75" customHeight="1">
      <c r="A903" s="127"/>
      <c r="B903" s="211"/>
      <c r="D903" s="211"/>
    </row>
    <row r="904" ht="15.75" customHeight="1">
      <c r="A904" s="127"/>
      <c r="B904" s="211"/>
      <c r="D904" s="211"/>
    </row>
    <row r="905" ht="15.75" customHeight="1">
      <c r="A905" s="127"/>
      <c r="B905" s="211"/>
      <c r="D905" s="211"/>
    </row>
    <row r="906" ht="15.75" customHeight="1">
      <c r="A906" s="127"/>
      <c r="B906" s="211"/>
      <c r="D906" s="211"/>
    </row>
    <row r="907" ht="15.75" customHeight="1">
      <c r="A907" s="127"/>
      <c r="B907" s="211"/>
      <c r="D907" s="211"/>
    </row>
    <row r="908" ht="15.75" customHeight="1">
      <c r="A908" s="127"/>
      <c r="B908" s="211"/>
      <c r="D908" s="211"/>
    </row>
    <row r="909" ht="15.75" customHeight="1">
      <c r="A909" s="127"/>
      <c r="B909" s="211"/>
      <c r="D909" s="211"/>
    </row>
    <row r="910" ht="15.75" customHeight="1">
      <c r="A910" s="127"/>
      <c r="B910" s="211"/>
      <c r="D910" s="211"/>
    </row>
    <row r="911" ht="15.75" customHeight="1">
      <c r="A911" s="127"/>
      <c r="B911" s="211"/>
      <c r="D911" s="211"/>
    </row>
    <row r="912" ht="15.75" customHeight="1">
      <c r="A912" s="127"/>
      <c r="B912" s="211"/>
      <c r="D912" s="211"/>
    </row>
    <row r="913" ht="15.75" customHeight="1">
      <c r="A913" s="127"/>
      <c r="B913" s="211"/>
      <c r="D913" s="211"/>
    </row>
    <row r="914" ht="15.75" customHeight="1">
      <c r="A914" s="127"/>
      <c r="B914" s="211"/>
      <c r="D914" s="211"/>
    </row>
    <row r="915" ht="15.75" customHeight="1">
      <c r="A915" s="127"/>
      <c r="B915" s="211"/>
      <c r="D915" s="211"/>
    </row>
    <row r="916" ht="15.75" customHeight="1">
      <c r="A916" s="127"/>
      <c r="B916" s="211"/>
      <c r="D916" s="211"/>
    </row>
    <row r="917" ht="15.75" customHeight="1">
      <c r="A917" s="127"/>
      <c r="B917" s="211"/>
      <c r="D917" s="211"/>
    </row>
    <row r="918" ht="15.75" customHeight="1">
      <c r="A918" s="127"/>
      <c r="B918" s="211"/>
      <c r="D918" s="211"/>
    </row>
    <row r="919" ht="15.75" customHeight="1">
      <c r="A919" s="127"/>
      <c r="B919" s="211"/>
      <c r="D919" s="211"/>
    </row>
    <row r="920" ht="15.75" customHeight="1">
      <c r="A920" s="127"/>
      <c r="B920" s="211"/>
      <c r="D920" s="211"/>
    </row>
    <row r="921" ht="15.75" customHeight="1">
      <c r="A921" s="127"/>
      <c r="B921" s="211"/>
      <c r="D921" s="211"/>
    </row>
    <row r="922" ht="15.75" customHeight="1">
      <c r="A922" s="127"/>
      <c r="B922" s="211"/>
      <c r="D922" s="211"/>
    </row>
    <row r="923" ht="15.75" customHeight="1">
      <c r="A923" s="127"/>
      <c r="B923" s="211"/>
      <c r="D923" s="211"/>
    </row>
    <row r="924" ht="15.75" customHeight="1">
      <c r="A924" s="127"/>
      <c r="B924" s="211"/>
      <c r="D924" s="211"/>
    </row>
    <row r="925" ht="15.75" customHeight="1">
      <c r="A925" s="127"/>
      <c r="B925" s="211"/>
      <c r="D925" s="211"/>
    </row>
    <row r="926" ht="15.75" customHeight="1">
      <c r="A926" s="127"/>
      <c r="B926" s="211"/>
      <c r="D926" s="211"/>
    </row>
    <row r="927" ht="15.75" customHeight="1">
      <c r="A927" s="127"/>
      <c r="B927" s="211"/>
      <c r="D927" s="211"/>
    </row>
    <row r="928" ht="15.75" customHeight="1">
      <c r="A928" s="127"/>
      <c r="B928" s="211"/>
      <c r="D928" s="211"/>
    </row>
    <row r="929" ht="15.75" customHeight="1">
      <c r="A929" s="127"/>
      <c r="B929" s="211"/>
      <c r="D929" s="211"/>
    </row>
    <row r="930" ht="15.75" customHeight="1">
      <c r="A930" s="127"/>
      <c r="B930" s="211"/>
      <c r="D930" s="211"/>
    </row>
    <row r="931" ht="15.75" customHeight="1">
      <c r="A931" s="127"/>
      <c r="B931" s="211"/>
      <c r="D931" s="211"/>
    </row>
    <row r="932" ht="15.75" customHeight="1">
      <c r="A932" s="127"/>
      <c r="B932" s="211"/>
      <c r="D932" s="211"/>
    </row>
    <row r="933" ht="15.75" customHeight="1">
      <c r="A933" s="127"/>
      <c r="B933" s="211"/>
      <c r="D933" s="211"/>
    </row>
    <row r="934" ht="15.75" customHeight="1">
      <c r="A934" s="127"/>
      <c r="B934" s="211"/>
      <c r="D934" s="211"/>
    </row>
    <row r="935" ht="15.75" customHeight="1">
      <c r="A935" s="127"/>
      <c r="B935" s="211"/>
      <c r="D935" s="211"/>
    </row>
    <row r="936" ht="15.75" customHeight="1">
      <c r="A936" s="127"/>
      <c r="B936" s="211"/>
      <c r="D936" s="211"/>
    </row>
    <row r="937" ht="15.75" customHeight="1">
      <c r="A937" s="127"/>
      <c r="B937" s="211"/>
      <c r="D937" s="211"/>
    </row>
    <row r="938" ht="15.75" customHeight="1">
      <c r="A938" s="127"/>
      <c r="B938" s="211"/>
      <c r="D938" s="211"/>
    </row>
    <row r="939" ht="15.75" customHeight="1">
      <c r="A939" s="127"/>
      <c r="B939" s="211"/>
      <c r="D939" s="211"/>
    </row>
    <row r="940" ht="15.75" customHeight="1">
      <c r="A940" s="127"/>
      <c r="B940" s="211"/>
      <c r="D940" s="211"/>
    </row>
    <row r="941" ht="15.75" customHeight="1">
      <c r="A941" s="127"/>
      <c r="B941" s="211"/>
      <c r="D941" s="211"/>
    </row>
    <row r="942" ht="15.75" customHeight="1">
      <c r="A942" s="127"/>
      <c r="B942" s="211"/>
      <c r="D942" s="211"/>
    </row>
    <row r="943" ht="15.75" customHeight="1">
      <c r="A943" s="127"/>
      <c r="B943" s="211"/>
      <c r="D943" s="211"/>
    </row>
    <row r="944" ht="15.75" customHeight="1">
      <c r="A944" s="127"/>
      <c r="B944" s="211"/>
      <c r="D944" s="211"/>
    </row>
    <row r="945" ht="15.75" customHeight="1">
      <c r="A945" s="127"/>
      <c r="B945" s="211"/>
      <c r="D945" s="211"/>
    </row>
    <row r="946" ht="15.75" customHeight="1">
      <c r="A946" s="127"/>
      <c r="B946" s="211"/>
      <c r="D946" s="211"/>
    </row>
    <row r="947" ht="15.75" customHeight="1">
      <c r="A947" s="127"/>
      <c r="B947" s="211"/>
      <c r="D947" s="211"/>
    </row>
    <row r="948" ht="15.75" customHeight="1">
      <c r="A948" s="127"/>
      <c r="B948" s="211"/>
      <c r="D948" s="211"/>
    </row>
    <row r="949" ht="15.75" customHeight="1">
      <c r="A949" s="127"/>
      <c r="B949" s="211"/>
      <c r="D949" s="211"/>
    </row>
    <row r="950" ht="15.75" customHeight="1">
      <c r="A950" s="127"/>
      <c r="B950" s="211"/>
      <c r="D950" s="211"/>
    </row>
    <row r="951" ht="15.75" customHeight="1">
      <c r="A951" s="127"/>
      <c r="B951" s="211"/>
      <c r="D951" s="211"/>
    </row>
    <row r="952" ht="15.75" customHeight="1">
      <c r="A952" s="127"/>
      <c r="B952" s="211"/>
      <c r="D952" s="211"/>
    </row>
    <row r="953" ht="15.75" customHeight="1">
      <c r="A953" s="127"/>
      <c r="B953" s="211"/>
      <c r="D953" s="211"/>
    </row>
    <row r="954" ht="15.75" customHeight="1">
      <c r="A954" s="127"/>
      <c r="B954" s="211"/>
      <c r="D954" s="211"/>
    </row>
    <row r="955" ht="15.75" customHeight="1">
      <c r="A955" s="127"/>
      <c r="B955" s="211"/>
      <c r="D955" s="211"/>
    </row>
    <row r="956" ht="15.75" customHeight="1">
      <c r="A956" s="127"/>
      <c r="B956" s="211"/>
      <c r="D956" s="211"/>
    </row>
    <row r="957" ht="15.75" customHeight="1">
      <c r="A957" s="127"/>
      <c r="B957" s="211"/>
      <c r="D957" s="211"/>
    </row>
    <row r="958" ht="15.75" customHeight="1">
      <c r="A958" s="127"/>
      <c r="B958" s="211"/>
      <c r="D958" s="211"/>
    </row>
    <row r="959" ht="15.75" customHeight="1">
      <c r="A959" s="127"/>
      <c r="B959" s="211"/>
      <c r="D959" s="211"/>
    </row>
    <row r="960" ht="15.75" customHeight="1">
      <c r="A960" s="127"/>
      <c r="B960" s="211"/>
      <c r="D960" s="211"/>
    </row>
    <row r="961" ht="15.75" customHeight="1">
      <c r="A961" s="127"/>
      <c r="B961" s="211"/>
      <c r="D961" s="211"/>
    </row>
    <row r="962" ht="15.75" customHeight="1">
      <c r="A962" s="127"/>
      <c r="B962" s="211"/>
      <c r="D962" s="211"/>
    </row>
    <row r="963" ht="15.75" customHeight="1">
      <c r="A963" s="127"/>
      <c r="B963" s="211"/>
      <c r="D963" s="211"/>
    </row>
    <row r="964" ht="15.75" customHeight="1">
      <c r="A964" s="127"/>
      <c r="B964" s="211"/>
      <c r="D964" s="211"/>
    </row>
    <row r="965" ht="15.75" customHeight="1">
      <c r="A965" s="127"/>
      <c r="B965" s="211"/>
      <c r="D965" s="211"/>
    </row>
    <row r="966" ht="15.75" customHeight="1">
      <c r="A966" s="127"/>
      <c r="B966" s="211"/>
      <c r="D966" s="211"/>
    </row>
    <row r="967" ht="15.75" customHeight="1">
      <c r="A967" s="127"/>
      <c r="B967" s="211"/>
      <c r="D967" s="211"/>
    </row>
    <row r="968" ht="15.75" customHeight="1">
      <c r="A968" s="127"/>
      <c r="B968" s="211"/>
      <c r="D968" s="211"/>
    </row>
    <row r="969" ht="15.75" customHeight="1">
      <c r="A969" s="127"/>
      <c r="B969" s="211"/>
      <c r="D969" s="211"/>
    </row>
    <row r="970" ht="15.75" customHeight="1">
      <c r="A970" s="127"/>
      <c r="B970" s="211"/>
      <c r="D970" s="211"/>
    </row>
    <row r="971" ht="15.75" customHeight="1">
      <c r="A971" s="127"/>
      <c r="B971" s="211"/>
      <c r="D971" s="211"/>
    </row>
    <row r="972" ht="15.75" customHeight="1">
      <c r="A972" s="127"/>
      <c r="B972" s="211"/>
      <c r="D972" s="211"/>
    </row>
    <row r="973" ht="15.75" customHeight="1">
      <c r="A973" s="127"/>
      <c r="B973" s="211"/>
      <c r="D973" s="211"/>
    </row>
    <row r="974" ht="15.75" customHeight="1">
      <c r="A974" s="127"/>
      <c r="B974" s="211"/>
      <c r="D974" s="211"/>
    </row>
    <row r="975" ht="15.75" customHeight="1">
      <c r="A975" s="127"/>
      <c r="B975" s="211"/>
      <c r="D975" s="211"/>
    </row>
    <row r="976" ht="15.75" customHeight="1">
      <c r="A976" s="127"/>
      <c r="B976" s="211"/>
      <c r="D976" s="211"/>
    </row>
    <row r="977" ht="15.75" customHeight="1">
      <c r="A977" s="127"/>
      <c r="B977" s="211"/>
      <c r="D977" s="211"/>
    </row>
    <row r="978" ht="15.75" customHeight="1">
      <c r="A978" s="127"/>
      <c r="B978" s="211"/>
      <c r="D978" s="211"/>
    </row>
    <row r="979" ht="15.75" customHeight="1">
      <c r="A979" s="127"/>
      <c r="B979" s="211"/>
      <c r="D979" s="211"/>
    </row>
    <row r="980" ht="15.75" customHeight="1">
      <c r="A980" s="127"/>
      <c r="B980" s="211"/>
      <c r="D980" s="211"/>
    </row>
    <row r="981" ht="15.75" customHeight="1">
      <c r="A981" s="127"/>
      <c r="B981" s="211"/>
      <c r="D981" s="211"/>
    </row>
    <row r="982" ht="15.75" customHeight="1">
      <c r="A982" s="127"/>
      <c r="B982" s="211"/>
      <c r="D982" s="211"/>
    </row>
    <row r="983" ht="15.75" customHeight="1">
      <c r="A983" s="127"/>
      <c r="B983" s="211"/>
      <c r="D983" s="211"/>
    </row>
    <row r="984" ht="15.75" customHeight="1">
      <c r="A984" s="127"/>
      <c r="B984" s="211"/>
      <c r="D984" s="211"/>
    </row>
    <row r="985" ht="15.75" customHeight="1">
      <c r="A985" s="127"/>
      <c r="B985" s="211"/>
      <c r="D985" s="211"/>
    </row>
    <row r="986" ht="15.75" customHeight="1">
      <c r="A986" s="127"/>
      <c r="B986" s="211"/>
      <c r="D986" s="211"/>
    </row>
    <row r="987" ht="15.75" customHeight="1">
      <c r="A987" s="127"/>
      <c r="B987" s="211"/>
      <c r="D987" s="211"/>
    </row>
    <row r="988" ht="15.75" customHeight="1">
      <c r="A988" s="127"/>
      <c r="B988" s="211"/>
      <c r="D988" s="211"/>
    </row>
    <row r="989" ht="15.75" customHeight="1">
      <c r="A989" s="127"/>
      <c r="B989" s="211"/>
      <c r="D989" s="211"/>
    </row>
    <row r="990" ht="15.75" customHeight="1">
      <c r="A990" s="127"/>
      <c r="B990" s="211"/>
      <c r="D990" s="211"/>
    </row>
    <row r="991" ht="15.75" customHeight="1">
      <c r="A991" s="127"/>
      <c r="B991" s="211"/>
      <c r="D991" s="211"/>
    </row>
    <row r="992" ht="15.75" customHeight="1">
      <c r="A992" s="127"/>
      <c r="B992" s="211"/>
      <c r="D992" s="211"/>
    </row>
    <row r="993" ht="15.75" customHeight="1">
      <c r="A993" s="127"/>
      <c r="B993" s="211"/>
      <c r="D993" s="211"/>
    </row>
    <row r="994" ht="15.75" customHeight="1">
      <c r="A994" s="127"/>
      <c r="B994" s="211"/>
      <c r="D994" s="211"/>
    </row>
    <row r="995" ht="15.75" customHeight="1">
      <c r="A995" s="127"/>
      <c r="B995" s="211"/>
      <c r="D995" s="211"/>
    </row>
    <row r="996" ht="15.75" customHeight="1">
      <c r="A996" s="127"/>
      <c r="B996" s="211"/>
      <c r="D996" s="211"/>
    </row>
    <row r="997" ht="15.75" customHeight="1">
      <c r="A997" s="127"/>
      <c r="B997" s="211"/>
      <c r="D997" s="211"/>
    </row>
    <row r="998" ht="15.75" customHeight="1">
      <c r="A998" s="127"/>
      <c r="B998" s="211"/>
      <c r="D998" s="211"/>
    </row>
    <row r="999" ht="15.75" customHeight="1">
      <c r="A999" s="127"/>
      <c r="B999" s="211"/>
      <c r="D999" s="211"/>
    </row>
    <row r="1000" ht="15.75" customHeight="1">
      <c r="A1000" s="127"/>
      <c r="B1000" s="211"/>
      <c r="D1000" s="211"/>
    </row>
    <row r="1001" ht="15.75" customHeight="1">
      <c r="A1001" s="127"/>
      <c r="B1001" s="211"/>
      <c r="D1001" s="211"/>
    </row>
    <row r="1002" ht="15.75" customHeight="1">
      <c r="A1002" s="127"/>
      <c r="B1002" s="211"/>
      <c r="D1002" s="211"/>
    </row>
    <row r="1003" ht="15.75" customHeight="1">
      <c r="A1003" s="127"/>
      <c r="B1003" s="211"/>
      <c r="D1003" s="211"/>
    </row>
    <row r="1004" ht="15.75" customHeight="1">
      <c r="A1004" s="127"/>
      <c r="B1004" s="211"/>
      <c r="D1004" s="211"/>
    </row>
    <row r="1005" ht="15.75" customHeight="1">
      <c r="A1005" s="127"/>
      <c r="B1005" s="211"/>
      <c r="D1005" s="211"/>
    </row>
    <row r="1006" ht="15.75" customHeight="1">
      <c r="A1006" s="127"/>
      <c r="B1006" s="211"/>
      <c r="D1006" s="211"/>
    </row>
    <row r="1007" ht="15.75" customHeight="1">
      <c r="A1007" s="127"/>
      <c r="B1007" s="211"/>
      <c r="D1007" s="211"/>
    </row>
    <row r="1008" ht="15.75" customHeight="1">
      <c r="A1008" s="127"/>
      <c r="B1008" s="211"/>
      <c r="D1008" s="211"/>
    </row>
    <row r="1009" ht="15.75" customHeight="1">
      <c r="A1009" s="127"/>
      <c r="B1009" s="211"/>
      <c r="D1009" s="211"/>
    </row>
    <row r="1010" ht="15.75" customHeight="1">
      <c r="A1010" s="127"/>
      <c r="B1010" s="211"/>
      <c r="D1010" s="211"/>
    </row>
    <row r="1011" ht="15.75" customHeight="1">
      <c r="A1011" s="127"/>
      <c r="B1011" s="211"/>
      <c r="D1011" s="211"/>
    </row>
    <row r="1012" ht="15.75" customHeight="1">
      <c r="A1012" s="127"/>
      <c r="B1012" s="211"/>
      <c r="D1012" s="211"/>
    </row>
    <row r="1013" ht="15.75" customHeight="1">
      <c r="A1013" s="127"/>
      <c r="B1013" s="211"/>
      <c r="D1013" s="211"/>
    </row>
    <row r="1014" ht="15.75" customHeight="1">
      <c r="A1014" s="127"/>
      <c r="B1014" s="211"/>
      <c r="D1014" s="211"/>
    </row>
    <row r="1015" ht="15.75" customHeight="1">
      <c r="A1015" s="127"/>
      <c r="B1015" s="211"/>
      <c r="D1015" s="211"/>
    </row>
    <row r="1016" ht="15.75" customHeight="1">
      <c r="A1016" s="127"/>
      <c r="B1016" s="211"/>
      <c r="D1016" s="211"/>
    </row>
    <row r="1017" ht="15.75" customHeight="1">
      <c r="A1017" s="127"/>
      <c r="B1017" s="211"/>
      <c r="D1017" s="211"/>
    </row>
    <row r="1018" ht="15.75" customHeight="1">
      <c r="A1018" s="127"/>
      <c r="B1018" s="211"/>
      <c r="D1018" s="211"/>
    </row>
  </sheetData>
  <mergeCells count="19">
    <mergeCell ref="N2:N3"/>
    <mergeCell ref="O2:O3"/>
    <mergeCell ref="G26:H26"/>
    <mergeCell ref="B49:C49"/>
    <mergeCell ref="P2:P3"/>
    <mergeCell ref="Q2:Q3"/>
    <mergeCell ref="R2:R3"/>
    <mergeCell ref="S2:S3"/>
    <mergeCell ref="T2:T3"/>
    <mergeCell ref="U2:U3"/>
    <mergeCell ref="Y105:Z105"/>
    <mergeCell ref="A1:D1"/>
    <mergeCell ref="F1:I1"/>
    <mergeCell ref="K1:V1"/>
    <mergeCell ref="X1:AD1"/>
    <mergeCell ref="K2:K3"/>
    <mergeCell ref="L2:L3"/>
    <mergeCell ref="M2:M3"/>
    <mergeCell ref="V2:V3"/>
  </mergeCells>
  <conditionalFormatting sqref="V4:V14 S18:S28 R33:R34 R36:R41 N45:N55">
    <cfRule type="cellIs" dxfId="1" priority="1" operator="notEqual">
      <formula>0</formula>
    </cfRule>
  </conditionalFormatting>
  <dataValidations>
    <dataValidation type="list" allowBlank="1" showErrorMessage="1" sqref="F3:F25 H3:H25">
      <formula1>"NONE,2.7KG,2.7KG FIESTA,7KG PASAK,7KG RUSKAS,11KG PASAK,11KG RUSKAS,ELITE PASAK,ELITE RUSKAS,22KG,50KG BLUE,50KG CODED"</formula1>
    </dataValidation>
  </dataValidations>
  <printOptions/>
  <pageMargins bottom="0.75" footer="0.0" header="0.0" left="0.7" right="0.7" top="0.75"/>
  <pageSetup orientation="portrait"/>
  <drawing r:id="rId1"/>
</worksheet>
</file>